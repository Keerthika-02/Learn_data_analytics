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xr:revisionPtr revIDLastSave="0" documentId="8_{BFAA566D-072D-7B4C-A428-F1F04CC3E126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Text functions" sheetId="1" r:id="rId1"/>
    <sheet name="Logical fun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2" l="1"/>
  <c r="E45" i="2"/>
  <c r="E46" i="2"/>
  <c r="E47" i="2"/>
  <c r="E48" i="2"/>
  <c r="E49" i="2"/>
  <c r="F44" i="2"/>
  <c r="F45" i="2"/>
  <c r="F46" i="2"/>
  <c r="F47" i="2"/>
  <c r="F48" i="2"/>
  <c r="F49" i="2"/>
  <c r="D28" i="2"/>
  <c r="D44" i="2"/>
  <c r="D45" i="2"/>
  <c r="D46" i="2"/>
  <c r="D47" i="2"/>
  <c r="D48" i="2"/>
  <c r="D49" i="2"/>
  <c r="C44" i="2"/>
  <c r="G44" i="2"/>
  <c r="C45" i="2"/>
  <c r="G45" i="2"/>
  <c r="C46" i="2"/>
  <c r="G46" i="2"/>
  <c r="C47" i="2"/>
  <c r="G47" i="2"/>
  <c r="C48" i="2"/>
  <c r="G48" i="2"/>
  <c r="C49" i="2"/>
  <c r="G49" i="2"/>
  <c r="D27" i="2"/>
  <c r="D29" i="2"/>
  <c r="D30" i="2"/>
  <c r="D31" i="2"/>
  <c r="D32" i="2"/>
  <c r="D33" i="2"/>
  <c r="C27" i="2"/>
  <c r="E27" i="2"/>
  <c r="C28" i="2"/>
  <c r="E28" i="2"/>
  <c r="C29" i="2"/>
  <c r="E29" i="2"/>
  <c r="C30" i="2"/>
  <c r="E30" i="2"/>
  <c r="C31" i="2"/>
  <c r="E31" i="2"/>
  <c r="C32" i="2"/>
  <c r="E32" i="2"/>
  <c r="C33" i="2"/>
  <c r="E33" i="2"/>
  <c r="D16" i="2"/>
  <c r="D17" i="2"/>
  <c r="D18" i="2"/>
  <c r="D19" i="2"/>
  <c r="D20" i="2"/>
  <c r="D21" i="2"/>
  <c r="D22" i="2"/>
  <c r="C22" i="2"/>
  <c r="E22" i="2"/>
  <c r="C21" i="2"/>
  <c r="E21" i="2"/>
  <c r="C20" i="2"/>
  <c r="E20" i="2"/>
  <c r="C19" i="2"/>
  <c r="E19" i="2"/>
  <c r="C18" i="2"/>
  <c r="E18" i="2"/>
  <c r="C17" i="2"/>
  <c r="E17" i="2"/>
  <c r="C16" i="2"/>
  <c r="E16" i="2"/>
  <c r="C5" i="2"/>
  <c r="C6" i="2"/>
  <c r="C7" i="2"/>
  <c r="C8" i="2"/>
  <c r="D8" i="2"/>
  <c r="C9" i="2"/>
  <c r="D9" i="2"/>
  <c r="C10" i="2"/>
  <c r="D10" i="2"/>
  <c r="C11" i="2"/>
  <c r="D11" i="2"/>
  <c r="C24" i="1"/>
  <c r="F21" i="1"/>
  <c r="C21" i="1"/>
  <c r="F18" i="1"/>
  <c r="C18" i="1"/>
  <c r="F15" i="1"/>
  <c r="C15" i="1"/>
  <c r="F12" i="1"/>
  <c r="C12" i="1"/>
  <c r="F9" i="1"/>
  <c r="C9" i="1"/>
  <c r="F6" i="1"/>
  <c r="C6" i="1"/>
  <c r="F3" i="1"/>
  <c r="C3" i="1"/>
  <c r="D7" i="2"/>
  <c r="D6" i="2"/>
  <c r="D5" i="2"/>
</calcChain>
</file>

<file path=xl/sharedStrings.xml><?xml version="1.0" encoding="utf-8"?>
<sst xmlns="http://schemas.openxmlformats.org/spreadsheetml/2006/main" count="79" uniqueCount="60">
  <si>
    <t>UPPER</t>
  </si>
  <si>
    <t>LOWER</t>
  </si>
  <si>
    <t>continuous improvement</t>
  </si>
  <si>
    <t>CONTINUOUS IMPROVEMENT</t>
  </si>
  <si>
    <t>PROPER</t>
  </si>
  <si>
    <t>TRIM</t>
  </si>
  <si>
    <t xml:space="preserve">      Continuous       Improvement   </t>
  </si>
  <si>
    <t>FIND</t>
  </si>
  <si>
    <t>SEARCH</t>
  </si>
  <si>
    <t xml:space="preserve">Infinite  </t>
  </si>
  <si>
    <t>Infinite</t>
  </si>
  <si>
    <t>REPLACE</t>
  </si>
  <si>
    <t>SUBSTITUTE</t>
  </si>
  <si>
    <t>Mirror</t>
  </si>
  <si>
    <t>Horror</t>
  </si>
  <si>
    <t>LEFT</t>
  </si>
  <si>
    <t>RIGHT</t>
  </si>
  <si>
    <t>JP-EMP-045</t>
  </si>
  <si>
    <t>MID</t>
  </si>
  <si>
    <t>LEN</t>
  </si>
  <si>
    <t>CONCAT</t>
  </si>
  <si>
    <t>TEXT JOIN</t>
  </si>
  <si>
    <t>CONCAT("Visit ", "Japan")</t>
  </si>
  <si>
    <t>TEXTJOIN(" - ", TRUE, "Tokyo", "Osaka")</t>
  </si>
  <si>
    <t>TEXT</t>
  </si>
  <si>
    <t>TEXT(5000, "¥#,##0")</t>
  </si>
  <si>
    <t>IF CONDITION</t>
  </si>
  <si>
    <t>Student Name</t>
  </si>
  <si>
    <t>JLPT SCORE</t>
  </si>
  <si>
    <t>Result</t>
  </si>
  <si>
    <t>Yamaguchi</t>
  </si>
  <si>
    <t>Tanaka</t>
  </si>
  <si>
    <t>Nakayama</t>
  </si>
  <si>
    <t>Hana</t>
  </si>
  <si>
    <t>Miko</t>
  </si>
  <si>
    <t>Akira</t>
  </si>
  <si>
    <t>Ren</t>
  </si>
  <si>
    <t>AND CONDITION</t>
  </si>
  <si>
    <t>Total Score</t>
  </si>
  <si>
    <t>Listening</t>
  </si>
  <si>
    <t>OR CONDITION</t>
  </si>
  <si>
    <t>Customer Name</t>
  </si>
  <si>
    <t>Amount</t>
  </si>
  <si>
    <t>Member</t>
  </si>
  <si>
    <t>Discount</t>
  </si>
  <si>
    <t>Anki</t>
  </si>
  <si>
    <t>Haruto</t>
  </si>
  <si>
    <t>Yuki</t>
  </si>
  <si>
    <t>Sakura</t>
  </si>
  <si>
    <t>Emi</t>
  </si>
  <si>
    <t>Kawaguchi</t>
  </si>
  <si>
    <t>IF, AND, OR Together</t>
  </si>
  <si>
    <t>A staff member qualifies for a senior position (主任 / shunin) if:
Age ≥ 30 AND
Years of service ≥ 5 AND
(Performance score ≥ 90 OR they have a special certification like "TOEIC 800+")</t>
  </si>
  <si>
    <t>Employee Name</t>
  </si>
  <si>
    <t>Age</t>
  </si>
  <si>
    <t>Experience</t>
  </si>
  <si>
    <t>Performance Score</t>
  </si>
  <si>
    <t>Special Certification</t>
  </si>
  <si>
    <t>Qualified</t>
  </si>
  <si>
    <t>Yamata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</si>
</sst>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6"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theme="0"/>
      </font>
      <fill>
        <patternFill patternType="solid">
          <bgColor rgb="FFC0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  <border>
        <bottom style="thin">
          <color rgb="FF000000"/>
        </bottom>
      </border>
    </dxf>
    <dxf>
      <font>
        <b/>
        <i val="0"/>
        <color theme="0"/>
      </font>
      <fill>
        <patternFill patternType="solid">
          <bgColor rgb="FFC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2761E-614F-4C73-8B93-DBD05A4F4D37}" name="Table1" displayName="Table1" ref="B4:D11" totalsRowShown="0">
  <autoFilter ref="B4:D11" xr:uid="{5102761E-614F-4C73-8B93-DBD05A4F4D37}"/>
  <tableColumns count="3">
    <tableColumn id="1" xr3:uid="{458C8E25-3553-4026-8149-47425171A612}" name="Student Name"/>
    <tableColumn id="2" xr3:uid="{91E68376-0F39-4F81-9B6C-024E90417E24}" name="JLPT SCORE" dataDxfId="15">
      <calculatedColumnFormula>RANDBETWEEN(60, 180)</calculatedColumnFormula>
    </tableColumn>
    <tableColumn id="3" xr3:uid="{B0061B20-A92D-4BCA-A258-64B14ED88D13}" name="Result" dataDxfId="14">
      <calculatedColumnFormula>IF(C5&gt;80, "Pass", "Fail")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2743E7-B325-4BAF-BC3D-A0956010014F}" name="Table2" displayName="Table2" ref="B15:E22" totalsRowShown="0">
  <autoFilter ref="B15:E22" xr:uid="{372743E7-B325-4BAF-BC3D-A0956010014F}"/>
  <tableColumns count="4">
    <tableColumn id="1" xr3:uid="{A08B4680-E9CC-4689-99F7-A1103B366FAE}" name="Student Name"/>
    <tableColumn id="2" xr3:uid="{00AF5D05-00DF-4C8B-8F64-853DE45CDC3E}" name="Total Score">
      <calculatedColumnFormula>RANDBETWEEN(60, 180)</calculatedColumnFormula>
    </tableColumn>
    <tableColumn id="3" xr3:uid="{CE7B8FFE-356E-4925-8DF9-88246AA0460F}" name="Listening" dataDxfId="13">
      <calculatedColumnFormula>RANDBETWEEN(10, 60)</calculatedColumnFormula>
    </tableColumn>
    <tableColumn id="4" xr3:uid="{0AF6161F-544B-4A9A-828D-0B4E87ED4687}" name="Result" dataDxfId="12">
      <calculatedColumnFormula>IF(AND(C16&gt;80,D16&gt;19),"Pass","Fail")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0A4CD9-F639-4C99-8453-4CCCCFACE110}" name="Table3" displayName="Table3" ref="B26:E33" totalsRowShown="0">
  <autoFilter ref="B26:E33" xr:uid="{F00A4CD9-F639-4C99-8453-4CCCCFACE110}"/>
  <tableColumns count="4">
    <tableColumn id="1" xr3:uid="{AD373DF7-998D-43B3-BC6B-1EE799407C2C}" name="Customer Name"/>
    <tableColumn id="2" xr3:uid="{BAF91206-E7A7-4CE4-998E-B3EE58B869D4}" name="Amount" dataDxfId="11">
      <calculatedColumnFormula>RANDBETWEEN(300,5000)</calculatedColumnFormula>
    </tableColumn>
    <tableColumn id="3" xr3:uid="{B5F2BB9F-9075-4E80-9634-B71D4F3E351E}" name="Member" dataDxfId="10">
      <calculatedColumnFormula>IF(RANDBETWEEN(0,1)=1,"Yes","No")</calculatedColumnFormula>
    </tableColumn>
    <tableColumn id="4" xr3:uid="{6F042278-36F7-4F3E-951D-4F78276214DB}" name="Discount" dataDxfId="9">
      <calculatedColumnFormula>IF(OR(C27&gt;1000,D27="YES"),"Discount","No Discount")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E77863-2BFD-4CDC-B716-F9BF6369FE1D}" name="Table4" displayName="Table4" ref="B43:G49" totalsRowShown="0">
  <autoFilter ref="B43:G49" xr:uid="{C6E77863-2BFD-4CDC-B716-F9BF6369FE1D}"/>
  <tableColumns count="6">
    <tableColumn id="1" xr3:uid="{5675F650-EE9E-4A71-9641-8E49EAC9E5E5}" name="Employee Name"/>
    <tableColumn id="2" xr3:uid="{43A39ED4-6114-402C-BF6F-09D15C528D6F}" name="Age" dataDxfId="8">
      <calculatedColumnFormula>RANDBETWEEN(21, 45)</calculatedColumnFormula>
    </tableColumn>
    <tableColumn id="3" xr3:uid="{671DC11A-7085-4858-B21C-A93E0F6E54AC}" name="Experience" dataDxfId="7">
      <calculatedColumnFormula>RANDBETWEEN(1,15)</calculatedColumnFormula>
    </tableColumn>
    <tableColumn id="7" xr3:uid="{78E76216-5AD7-40E5-93F2-F43E2BE57AF8}" name="Performance Score" dataDxfId="6">
      <calculatedColumnFormula>RANDBETWEEN(50,100)</calculatedColumnFormula>
    </tableColumn>
    <tableColumn id="4" xr3:uid="{7C4F51D6-BA30-4C36-A3CA-0F139AC908C4}" name="Special Certification" dataDxfId="5">
      <calculatedColumnFormula>IF(RANDBETWEEN(0,1)=1,"Yes","No")</calculatedColumnFormula>
    </tableColumn>
    <tableColumn id="5" xr3:uid="{9AFDC292-64A9-4E1C-9357-B650A5EFA173}" name="Qualified" dataDxfId="4">
      <calculatedColumnFormula>IF(AND(C44&gt;29,D44&gt;4,OR(E44&gt;89,F44="YES")),"Qualifies for Shunin", "Not yet")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4"/>
  <sheetViews>
    <sheetView topLeftCell="B23" workbookViewId="0">
      <selection activeCell="B87" sqref="B87"/>
    </sheetView>
  </sheetViews>
  <sheetFormatPr defaultRowHeight="15" x14ac:dyDescent="0.2"/>
  <cols>
    <col min="2" max="2" width="23.13671875" bestFit="1" customWidth="1"/>
    <col min="3" max="3" width="27.0390625" bestFit="1" customWidth="1"/>
    <col min="5" max="5" width="35.37890625" bestFit="1" customWidth="1"/>
    <col min="6" max="6" width="22.8671875" bestFit="1" customWidth="1"/>
  </cols>
  <sheetData>
    <row r="2" spans="2:6" x14ac:dyDescent="0.2">
      <c r="B2" s="3" t="s">
        <v>0</v>
      </c>
      <c r="C2" s="2"/>
      <c r="E2" s="3" t="s">
        <v>1</v>
      </c>
      <c r="F2" s="2"/>
    </row>
    <row r="3" spans="2:6" x14ac:dyDescent="0.2">
      <c r="B3" t="s">
        <v>2</v>
      </c>
      <c r="C3" t="str">
        <f>UPPER(B3)</f>
        <v>CONTINUOUS IMPROVEMENT</v>
      </c>
      <c r="E3" t="s">
        <v>3</v>
      </c>
      <c r="F3" t="str">
        <f>LOWER(E3)</f>
        <v>continuous improvement</v>
      </c>
    </row>
    <row r="5" spans="2:6" x14ac:dyDescent="0.2">
      <c r="B5" s="3" t="s">
        <v>4</v>
      </c>
      <c r="C5" s="2"/>
      <c r="E5" s="3" t="s">
        <v>5</v>
      </c>
      <c r="F5" s="2"/>
    </row>
    <row r="6" spans="2:6" x14ac:dyDescent="0.2">
      <c r="B6" t="s">
        <v>2</v>
      </c>
      <c r="C6" t="str">
        <f>PROPER(B6)</f>
        <v>Continuous Improvement</v>
      </c>
      <c r="E6" t="s">
        <v>6</v>
      </c>
      <c r="F6" t="str">
        <f>TRIM(E6)</f>
        <v>Continuous Improvement</v>
      </c>
    </row>
    <row r="8" spans="2:6" x14ac:dyDescent="0.2">
      <c r="B8" s="3" t="s">
        <v>7</v>
      </c>
      <c r="C8" s="2"/>
      <c r="E8" s="3" t="s">
        <v>8</v>
      </c>
      <c r="F8" s="2"/>
    </row>
    <row r="9" spans="2:6" x14ac:dyDescent="0.2">
      <c r="B9" t="s">
        <v>9</v>
      </c>
      <c r="C9">
        <f>FIND("i", B9)</f>
        <v>4</v>
      </c>
      <c r="E9" t="s">
        <v>10</v>
      </c>
      <c r="F9">
        <f>SEARCH("i", E9)</f>
        <v>1</v>
      </c>
    </row>
    <row r="11" spans="2:6" x14ac:dyDescent="0.2">
      <c r="B11" s="3" t="s">
        <v>11</v>
      </c>
      <c r="C11" s="2"/>
      <c r="E11" s="3" t="s">
        <v>12</v>
      </c>
      <c r="F11" s="2"/>
    </row>
    <row r="12" spans="2:6" x14ac:dyDescent="0.2">
      <c r="B12" t="s">
        <v>13</v>
      </c>
      <c r="C12" t="str">
        <f>REPLACE(B12, 1,2,"Ho")</f>
        <v>Horror</v>
      </c>
      <c r="E12" t="s">
        <v>14</v>
      </c>
      <c r="F12" t="str">
        <f>SUBSTITUTE(E12, "Ho", " Te")</f>
        <v xml:space="preserve"> Terror</v>
      </c>
    </row>
    <row r="14" spans="2:6" x14ac:dyDescent="0.2">
      <c r="B14" s="3" t="s">
        <v>15</v>
      </c>
      <c r="C14" s="1"/>
      <c r="E14" s="3" t="s">
        <v>16</v>
      </c>
      <c r="F14" s="1"/>
    </row>
    <row r="15" spans="2:6" x14ac:dyDescent="0.2">
      <c r="B15" t="s">
        <v>17</v>
      </c>
      <c r="C15" t="str">
        <f>LEFT(B15, 2)</f>
        <v>JP</v>
      </c>
      <c r="E15" t="s">
        <v>17</v>
      </c>
      <c r="F15" t="str">
        <f>RIGHT(E15, 3)</f>
        <v>045</v>
      </c>
    </row>
    <row r="17" spans="2:6" x14ac:dyDescent="0.2">
      <c r="B17" s="3" t="s">
        <v>18</v>
      </c>
      <c r="C17" s="1"/>
      <c r="E17" s="3" t="s">
        <v>19</v>
      </c>
      <c r="F17" s="1"/>
    </row>
    <row r="18" spans="2:6" x14ac:dyDescent="0.2">
      <c r="B18" t="s">
        <v>17</v>
      </c>
      <c r="C18" t="str">
        <f>MID(B18, 4,3)</f>
        <v>EMP</v>
      </c>
      <c r="E18" t="s">
        <v>17</v>
      </c>
      <c r="F18">
        <f>LEN(E18)</f>
        <v>10</v>
      </c>
    </row>
    <row r="20" spans="2:6" x14ac:dyDescent="0.2">
      <c r="B20" s="3" t="s">
        <v>20</v>
      </c>
      <c r="C20" s="3"/>
      <c r="E20" s="3" t="s">
        <v>21</v>
      </c>
      <c r="F20" s="3"/>
    </row>
    <row r="21" spans="2:6" x14ac:dyDescent="0.2">
      <c r="B21" t="s">
        <v>22</v>
      </c>
      <c r="C21" t="str">
        <f>_xlfn.CONCAT("Visit ", "Japan")</f>
        <v>Visit Japan</v>
      </c>
      <c r="E21" t="s">
        <v>23</v>
      </c>
      <c r="F21" t="str">
        <f>_xlfn.TEXTJOIN(" - ", TRUE, "Tokyo", "Osaka")</f>
        <v>Tokyo - Osaka</v>
      </c>
    </row>
    <row r="23" spans="2:6" x14ac:dyDescent="0.2">
      <c r="B23" s="3" t="s">
        <v>24</v>
      </c>
      <c r="C23" s="3"/>
    </row>
    <row r="24" spans="2:6" x14ac:dyDescent="0.2">
      <c r="B24" t="s">
        <v>25</v>
      </c>
      <c r="C24" t="str">
        <f>TEXT(5000, "¥#,##0")</f>
        <v>¥5,000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9278-0D3C-4499-9A0C-591626C39303}">
  <dimension ref="A2:H49"/>
  <sheetViews>
    <sheetView tabSelected="1" workbookViewId="0">
      <selection activeCell="A37" sqref="A37:G41"/>
    </sheetView>
  </sheetViews>
  <sheetFormatPr defaultRowHeight="15" x14ac:dyDescent="0.2"/>
  <cols>
    <col min="2" max="2" width="17.75390625" bestFit="1" customWidth="1"/>
    <col min="3" max="3" width="13.31640625" bestFit="1" customWidth="1"/>
    <col min="4" max="4" width="12.9140625" bestFit="1" customWidth="1"/>
    <col min="5" max="5" width="20.04296875" bestFit="1" customWidth="1"/>
    <col min="6" max="6" width="11.296875" bestFit="1" customWidth="1"/>
    <col min="7" max="7" width="18.0234375" bestFit="1" customWidth="1"/>
  </cols>
  <sheetData>
    <row r="2" spans="1:6" x14ac:dyDescent="0.2">
      <c r="A2" s="7" t="s">
        <v>26</v>
      </c>
      <c r="B2" s="7"/>
      <c r="C2" s="7"/>
      <c r="D2" s="7"/>
      <c r="E2" s="7"/>
      <c r="F2" s="7"/>
    </row>
    <row r="4" spans="1:6" x14ac:dyDescent="0.2">
      <c r="B4" t="s">
        <v>27</v>
      </c>
      <c r="C4" t="s">
        <v>28</v>
      </c>
      <c r="D4" t="s">
        <v>29</v>
      </c>
    </row>
    <row r="5" spans="1:6" x14ac:dyDescent="0.2">
      <c r="B5" s="4" t="s">
        <v>30</v>
      </c>
      <c r="C5">
        <f t="shared" ref="C5:C11" ca="1" si="0">RANDBETWEEN(60, 180)</f>
        <v>110</v>
      </c>
      <c r="D5" t="str">
        <f t="shared" ref="D5:D11" ca="1" si="1">IF(C5&gt;80, "Pass", "Fail")</f>
        <v>Pass</v>
      </c>
    </row>
    <row r="6" spans="1:6" x14ac:dyDescent="0.2">
      <c r="B6" t="s">
        <v>31</v>
      </c>
      <c r="C6">
        <f t="shared" ca="1" si="0"/>
        <v>115</v>
      </c>
      <c r="D6" t="str">
        <f t="shared" ca="1" si="1"/>
        <v>Pass</v>
      </c>
    </row>
    <row r="7" spans="1:6" x14ac:dyDescent="0.2">
      <c r="B7" t="s">
        <v>32</v>
      </c>
      <c r="C7">
        <f t="shared" ca="1" si="0"/>
        <v>97</v>
      </c>
      <c r="D7" t="str">
        <f t="shared" ca="1" si="1"/>
        <v>Pass</v>
      </c>
    </row>
    <row r="8" spans="1:6" x14ac:dyDescent="0.2">
      <c r="B8" t="s">
        <v>33</v>
      </c>
      <c r="C8">
        <f t="shared" ca="1" si="0"/>
        <v>70</v>
      </c>
      <c r="D8" t="str">
        <f t="shared" ca="1" si="1"/>
        <v>Fail</v>
      </c>
    </row>
    <row r="9" spans="1:6" x14ac:dyDescent="0.2">
      <c r="B9" t="s">
        <v>34</v>
      </c>
      <c r="C9">
        <f t="shared" ca="1" si="0"/>
        <v>179</v>
      </c>
      <c r="D9" t="str">
        <f t="shared" ca="1" si="1"/>
        <v>Pass</v>
      </c>
    </row>
    <row r="10" spans="1:6" x14ac:dyDescent="0.2">
      <c r="B10" t="s">
        <v>35</v>
      </c>
      <c r="C10">
        <f t="shared" ca="1" si="0"/>
        <v>72</v>
      </c>
      <c r="D10" t="str">
        <f t="shared" ca="1" si="1"/>
        <v>Fail</v>
      </c>
    </row>
    <row r="11" spans="1:6" x14ac:dyDescent="0.2">
      <c r="B11" t="s">
        <v>36</v>
      </c>
      <c r="C11">
        <f t="shared" ca="1" si="0"/>
        <v>145</v>
      </c>
      <c r="D11" t="str">
        <f t="shared" ca="1" si="1"/>
        <v>Pass</v>
      </c>
    </row>
    <row r="13" spans="1:6" x14ac:dyDescent="0.2">
      <c r="A13" s="7" t="s">
        <v>37</v>
      </c>
      <c r="B13" s="7"/>
      <c r="C13" s="7"/>
      <c r="D13" s="7"/>
      <c r="E13" s="7"/>
      <c r="F13" s="7"/>
    </row>
    <row r="15" spans="1:6" x14ac:dyDescent="0.2">
      <c r="B15" t="s">
        <v>27</v>
      </c>
      <c r="C15" t="s">
        <v>38</v>
      </c>
      <c r="D15" t="s">
        <v>39</v>
      </c>
      <c r="E15" t="s">
        <v>29</v>
      </c>
    </row>
    <row r="16" spans="1:6" x14ac:dyDescent="0.2">
      <c r="B16" s="4" t="s">
        <v>30</v>
      </c>
      <c r="C16">
        <f t="shared" ref="C16:C22" ca="1" si="2">RANDBETWEEN(60, 180)</f>
        <v>148</v>
      </c>
      <c r="D16">
        <f t="shared" ref="D16:D22" ca="1" si="3">RANDBETWEEN(10, 60)</f>
        <v>55</v>
      </c>
      <c r="E16" t="str">
        <f t="shared" ref="E16:E22" ca="1" si="4">IF(AND(C16&gt;80,D16&gt;19),"Pass","Fail")</f>
        <v>Pass</v>
      </c>
    </row>
    <row r="17" spans="1:6" x14ac:dyDescent="0.2">
      <c r="B17" t="s">
        <v>31</v>
      </c>
      <c r="C17">
        <f t="shared" ca="1" si="2"/>
        <v>71</v>
      </c>
      <c r="D17">
        <f t="shared" ca="1" si="3"/>
        <v>54</v>
      </c>
      <c r="E17" t="str">
        <f t="shared" ca="1" si="4"/>
        <v>Fail</v>
      </c>
    </row>
    <row r="18" spans="1:6" x14ac:dyDescent="0.2">
      <c r="B18" t="s">
        <v>32</v>
      </c>
      <c r="C18">
        <f t="shared" ca="1" si="2"/>
        <v>91</v>
      </c>
      <c r="D18">
        <f t="shared" ca="1" si="3"/>
        <v>14</v>
      </c>
      <c r="E18" t="str">
        <f t="shared" ca="1" si="4"/>
        <v>Fail</v>
      </c>
    </row>
    <row r="19" spans="1:6" x14ac:dyDescent="0.2">
      <c r="B19" t="s">
        <v>33</v>
      </c>
      <c r="C19">
        <f t="shared" ca="1" si="2"/>
        <v>64</v>
      </c>
      <c r="D19">
        <f t="shared" ca="1" si="3"/>
        <v>33</v>
      </c>
      <c r="E19" t="str">
        <f t="shared" ca="1" si="4"/>
        <v>Fail</v>
      </c>
    </row>
    <row r="20" spans="1:6" x14ac:dyDescent="0.2">
      <c r="B20" t="s">
        <v>34</v>
      </c>
      <c r="C20">
        <f t="shared" ca="1" si="2"/>
        <v>90</v>
      </c>
      <c r="D20">
        <f t="shared" ca="1" si="3"/>
        <v>35</v>
      </c>
      <c r="E20" t="str">
        <f t="shared" ca="1" si="4"/>
        <v>Pass</v>
      </c>
    </row>
    <row r="21" spans="1:6" x14ac:dyDescent="0.2">
      <c r="B21" t="s">
        <v>35</v>
      </c>
      <c r="C21">
        <f t="shared" ca="1" si="2"/>
        <v>94</v>
      </c>
      <c r="D21">
        <f t="shared" ca="1" si="3"/>
        <v>15</v>
      </c>
      <c r="E21" t="str">
        <f t="shared" ca="1" si="4"/>
        <v>Fail</v>
      </c>
    </row>
    <row r="22" spans="1:6" x14ac:dyDescent="0.2">
      <c r="B22" t="s">
        <v>36</v>
      </c>
      <c r="C22">
        <f t="shared" ca="1" si="2"/>
        <v>178</v>
      </c>
      <c r="D22">
        <f t="shared" ca="1" si="3"/>
        <v>47</v>
      </c>
      <c r="E22" t="str">
        <f t="shared" ca="1" si="4"/>
        <v>Pass</v>
      </c>
    </row>
    <row r="24" spans="1:6" x14ac:dyDescent="0.2">
      <c r="A24" s="7" t="s">
        <v>40</v>
      </c>
      <c r="B24" s="7"/>
      <c r="C24" s="7"/>
      <c r="D24" s="7"/>
      <c r="E24" s="7"/>
      <c r="F24" s="7"/>
    </row>
    <row r="26" spans="1:6" x14ac:dyDescent="0.2">
      <c r="B26" t="s">
        <v>41</v>
      </c>
      <c r="C26" t="s">
        <v>42</v>
      </c>
      <c r="D26" t="s">
        <v>43</v>
      </c>
      <c r="E26" t="s">
        <v>44</v>
      </c>
    </row>
    <row r="27" spans="1:6" x14ac:dyDescent="0.2">
      <c r="B27" s="5" t="s">
        <v>45</v>
      </c>
      <c r="C27" s="6">
        <f t="shared" ref="C27:C33" ca="1" si="5">RANDBETWEEN(300,5000)</f>
        <v>999</v>
      </c>
      <c r="D27" t="str">
        <f t="shared" ref="D27:D33" ca="1" si="6">IF(RANDBETWEEN(0,1)=1,"Yes","No")</f>
        <v>Yes</v>
      </c>
      <c r="E27" t="str">
        <f ca="1">IF(OR(C27&gt;1000,D27="YES"),"Discount","No Discount")</f>
        <v>Discount</v>
      </c>
    </row>
    <row r="28" spans="1:6" x14ac:dyDescent="0.2">
      <c r="B28" t="s">
        <v>46</v>
      </c>
      <c r="C28">
        <f t="shared" ca="1" si="5"/>
        <v>639</v>
      </c>
      <c r="D28" t="str">
        <f ca="1">IF(RANDBETWEEN(0,1)=1,"Yes","No")</f>
        <v>No</v>
      </c>
      <c r="E28" t="str">
        <f t="shared" ref="E28:E33" ca="1" si="7">IF(OR(C28&gt;1000,D28="YES"),"Discount","No Discount")</f>
        <v>No Discount</v>
      </c>
    </row>
    <row r="29" spans="1:6" x14ac:dyDescent="0.2">
      <c r="B29" t="s">
        <v>36</v>
      </c>
      <c r="C29">
        <f t="shared" ca="1" si="5"/>
        <v>1530</v>
      </c>
      <c r="D29" t="str">
        <f t="shared" ca="1" si="6"/>
        <v>No</v>
      </c>
      <c r="E29" t="str">
        <f t="shared" ca="1" si="7"/>
        <v>Discount</v>
      </c>
    </row>
    <row r="30" spans="1:6" x14ac:dyDescent="0.2">
      <c r="B30" t="s">
        <v>47</v>
      </c>
      <c r="C30">
        <f t="shared" ca="1" si="5"/>
        <v>3039</v>
      </c>
      <c r="D30" t="str">
        <f t="shared" ca="1" si="6"/>
        <v>Yes</v>
      </c>
      <c r="E30" t="str">
        <f t="shared" ca="1" si="7"/>
        <v>Discount</v>
      </c>
    </row>
    <row r="31" spans="1:6" x14ac:dyDescent="0.2">
      <c r="B31" t="s">
        <v>48</v>
      </c>
      <c r="C31">
        <f t="shared" ca="1" si="5"/>
        <v>3538</v>
      </c>
      <c r="D31" t="str">
        <f t="shared" ca="1" si="6"/>
        <v>No</v>
      </c>
      <c r="E31" t="str">
        <f t="shared" ca="1" si="7"/>
        <v>Discount</v>
      </c>
    </row>
    <row r="32" spans="1:6" x14ac:dyDescent="0.2">
      <c r="B32" t="s">
        <v>49</v>
      </c>
      <c r="C32">
        <f t="shared" ca="1" si="5"/>
        <v>3708</v>
      </c>
      <c r="D32" t="str">
        <f t="shared" ca="1" si="6"/>
        <v>Yes</v>
      </c>
      <c r="E32" t="str">
        <f t="shared" ca="1" si="7"/>
        <v>Discount</v>
      </c>
    </row>
    <row r="33" spans="1:8" x14ac:dyDescent="0.2">
      <c r="B33" t="s">
        <v>50</v>
      </c>
      <c r="C33">
        <f t="shared" ca="1" si="5"/>
        <v>3001</v>
      </c>
      <c r="D33" t="str">
        <f t="shared" ca="1" si="6"/>
        <v>Yes</v>
      </c>
      <c r="E33" t="str">
        <f t="shared" ca="1" si="7"/>
        <v>Discount</v>
      </c>
    </row>
    <row r="35" spans="1:8" x14ac:dyDescent="0.2">
      <c r="A35" s="7" t="s">
        <v>51</v>
      </c>
      <c r="B35" s="7"/>
      <c r="C35" s="7"/>
      <c r="D35" s="7"/>
      <c r="E35" s="7"/>
      <c r="F35" s="7"/>
      <c r="G35" s="7"/>
      <c r="H35" s="7"/>
    </row>
    <row r="37" spans="1:8" ht="15" customHeight="1" x14ac:dyDescent="0.2">
      <c r="A37" s="8" t="s">
        <v>52</v>
      </c>
      <c r="B37" s="8"/>
      <c r="C37" s="8"/>
      <c r="D37" s="8"/>
      <c r="E37" s="8"/>
      <c r="F37" s="8"/>
      <c r="G37" s="8"/>
    </row>
    <row r="38" spans="1:8" x14ac:dyDescent="0.2">
      <c r="A38" s="8"/>
      <c r="B38" s="8"/>
      <c r="C38" s="8"/>
      <c r="D38" s="8"/>
      <c r="E38" s="8"/>
      <c r="F38" s="8"/>
      <c r="G38" s="8"/>
    </row>
    <row r="39" spans="1:8" x14ac:dyDescent="0.2">
      <c r="A39" s="8"/>
      <c r="B39" s="8"/>
      <c r="C39" s="8"/>
      <c r="D39" s="8"/>
      <c r="E39" s="8"/>
      <c r="F39" s="8"/>
      <c r="G39" s="8"/>
    </row>
    <row r="40" spans="1:8" x14ac:dyDescent="0.2">
      <c r="A40" s="8"/>
      <c r="B40" s="8"/>
      <c r="C40" s="8"/>
      <c r="D40" s="8"/>
      <c r="E40" s="8"/>
      <c r="F40" s="8"/>
      <c r="G40" s="8"/>
    </row>
    <row r="41" spans="1:8" x14ac:dyDescent="0.2">
      <c r="A41" s="8"/>
      <c r="B41" s="8"/>
      <c r="C41" s="8"/>
      <c r="D41" s="8"/>
      <c r="E41" s="8"/>
      <c r="F41" s="8"/>
      <c r="G41" s="8"/>
    </row>
    <row r="43" spans="1:8" x14ac:dyDescent="0.2">
      <c r="B43" t="s">
        <v>53</v>
      </c>
      <c r="C43" t="s">
        <v>54</v>
      </c>
      <c r="D43" t="s">
        <v>55</v>
      </c>
      <c r="E43" t="s">
        <v>56</v>
      </c>
      <c r="F43" t="s">
        <v>57</v>
      </c>
      <c r="G43" t="s">
        <v>58</v>
      </c>
    </row>
    <row r="44" spans="1:8" x14ac:dyDescent="0.2">
      <c r="B44" s="5" t="s">
        <v>59</v>
      </c>
      <c r="C44">
        <f t="shared" ref="C44:C49" ca="1" si="8">RANDBETWEEN(21, 45)</f>
        <v>45</v>
      </c>
      <c r="D44">
        <f t="shared" ref="D44:D49" ca="1" si="9">RANDBETWEEN(1,15)</f>
        <v>8</v>
      </c>
      <c r="E44">
        <f t="shared" ref="E44:E49" ca="1" si="10">RANDBETWEEN(50,100)</f>
        <v>82</v>
      </c>
      <c r="F44" t="str">
        <f t="shared" ref="F44:F49" ca="1" si="11">IF(RANDBETWEEN(0,1)=1,"Yes","No")</f>
        <v>No</v>
      </c>
      <c r="G44" t="str">
        <f t="shared" ref="G44:G49" ca="1" si="12">IF(AND(C44&gt;29,D44&gt;4,OR(E44&gt;89,F44="YES")),"Qualifies for Shunin", "Not yet")</f>
        <v>Not yet</v>
      </c>
    </row>
    <row r="45" spans="1:8" x14ac:dyDescent="0.2">
      <c r="B45" t="s">
        <v>33</v>
      </c>
      <c r="C45">
        <f t="shared" ca="1" si="8"/>
        <v>29</v>
      </c>
      <c r="D45">
        <f t="shared" ca="1" si="9"/>
        <v>5</v>
      </c>
      <c r="E45">
        <f t="shared" ca="1" si="10"/>
        <v>65</v>
      </c>
      <c r="F45" t="str">
        <f t="shared" ca="1" si="11"/>
        <v>Yes</v>
      </c>
      <c r="G45" t="str">
        <f t="shared" ca="1" si="12"/>
        <v>Not yet</v>
      </c>
    </row>
    <row r="46" spans="1:8" x14ac:dyDescent="0.2">
      <c r="B46" t="s">
        <v>47</v>
      </c>
      <c r="C46">
        <f t="shared" ca="1" si="8"/>
        <v>43</v>
      </c>
      <c r="D46">
        <f t="shared" ca="1" si="9"/>
        <v>3</v>
      </c>
      <c r="E46">
        <f t="shared" ca="1" si="10"/>
        <v>78</v>
      </c>
      <c r="F46" t="str">
        <f t="shared" ca="1" si="11"/>
        <v>No</v>
      </c>
      <c r="G46" t="str">
        <f t="shared" ca="1" si="12"/>
        <v>Not yet</v>
      </c>
    </row>
    <row r="47" spans="1:8" x14ac:dyDescent="0.2">
      <c r="B47" t="s">
        <v>49</v>
      </c>
      <c r="C47">
        <f t="shared" ca="1" si="8"/>
        <v>29</v>
      </c>
      <c r="D47">
        <f t="shared" ca="1" si="9"/>
        <v>3</v>
      </c>
      <c r="E47">
        <f t="shared" ca="1" si="10"/>
        <v>76</v>
      </c>
      <c r="F47" t="str">
        <f t="shared" ca="1" si="11"/>
        <v>Yes</v>
      </c>
      <c r="G47" t="str">
        <f t="shared" ca="1" si="12"/>
        <v>Not yet</v>
      </c>
    </row>
    <row r="48" spans="1:8" x14ac:dyDescent="0.2">
      <c r="B48" t="s">
        <v>50</v>
      </c>
      <c r="C48">
        <f t="shared" ca="1" si="8"/>
        <v>36</v>
      </c>
      <c r="D48">
        <f t="shared" ca="1" si="9"/>
        <v>1</v>
      </c>
      <c r="E48">
        <f t="shared" ca="1" si="10"/>
        <v>92</v>
      </c>
      <c r="F48" t="str">
        <f t="shared" ca="1" si="11"/>
        <v>No</v>
      </c>
      <c r="G48" t="str">
        <f t="shared" ca="1" si="12"/>
        <v>Not yet</v>
      </c>
    </row>
    <row r="49" spans="2:7" x14ac:dyDescent="0.2">
      <c r="B49" t="s">
        <v>48</v>
      </c>
      <c r="C49">
        <f t="shared" ca="1" si="8"/>
        <v>45</v>
      </c>
      <c r="D49">
        <f t="shared" ca="1" si="9"/>
        <v>10</v>
      </c>
      <c r="E49">
        <f t="shared" ca="1" si="10"/>
        <v>61</v>
      </c>
      <c r="F49" t="str">
        <f t="shared" ca="1" si="11"/>
        <v>No</v>
      </c>
      <c r="G49" t="str">
        <f t="shared" ca="1" si="12"/>
        <v>Not yet</v>
      </c>
    </row>
  </sheetData>
  <mergeCells count="5">
    <mergeCell ref="A2:F2"/>
    <mergeCell ref="A13:F13"/>
    <mergeCell ref="A24:F24"/>
    <mergeCell ref="A35:H35"/>
    <mergeCell ref="A37:G41"/>
  </mergeCells>
  <conditionalFormatting sqref="D5:D11">
    <cfRule type="containsText" dxfId="3" priority="4" operator="containsText" text="Fail">
      <formula>NOT(ISERROR(SEARCH("Fail",D5)))</formula>
    </cfRule>
    <cfRule type="containsText" dxfId="2" priority="5" operator="containsText" text="Pass">
      <formula>NOT(ISERROR(SEARCH("Pass",D5)))</formula>
    </cfRule>
  </conditionalFormatting>
  <conditionalFormatting sqref="E16:E22">
    <cfRule type="containsText" dxfId="1" priority="2" operator="containsText" text="Fail">
      <formula>NOT(ISERROR(SEARCH("Fail",E16)))</formula>
    </cfRule>
    <cfRule type="containsText" dxfId="0" priority="3" operator="containsText" text="Pass">
      <formula>NOT(ISERROR(SEARCH("Pass",E16)))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Logical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Keerthika Saravanan</cp:lastModifiedBy>
  <cp:revision/>
  <dcterms:created xsi:type="dcterms:W3CDTF">2026-01-28T15:45:57Z</dcterms:created>
  <dcterms:modified xsi:type="dcterms:W3CDTF">2026-01-28T18:03:10Z</dcterms:modified>
  <cp:category/>
  <cp:contentStatus/>
</cp:coreProperties>
</file>