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22F4858F-AC91-4A38-B59E-42D0E21CFD96}" xr6:coauthVersionLast="47" xr6:coauthVersionMax="47" xr10:uidLastSave="{00000000-0000-0000-0000-000000000000}"/>
  <bookViews>
    <workbookView xWindow="-110" yWindow="-110" windowWidth="19420" windowHeight="11020" activeTab="1" xr2:uid="{585E039E-488F-420B-9420-27CE8348588E}"/>
  </bookViews>
  <sheets>
    <sheet name="Nested IF" sheetId="1" r:id="rId1"/>
    <sheet name="IF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 a="1"/>
  <c r="E3" i="2" s="1"/>
  <c r="E9" i="2" a="1"/>
  <c r="E9" i="2" s="1"/>
  <c r="E10" i="2" a="1"/>
  <c r="E10" i="2"/>
  <c r="E11" i="2" a="1"/>
  <c r="E11" i="2" s="1"/>
  <c r="E17" i="2" a="1"/>
  <c r="E17" i="2"/>
  <c r="E18" i="2" a="1"/>
  <c r="E18" i="2"/>
  <c r="E19" i="2" a="1"/>
  <c r="E19" i="2" s="1"/>
  <c r="C3" i="2"/>
  <c r="C4" i="2"/>
  <c r="E4" i="2" s="1" a="1"/>
  <c r="E4" i="2" s="1"/>
  <c r="C5" i="2"/>
  <c r="E5" i="2" s="1" a="1"/>
  <c r="E5" i="2" s="1"/>
  <c r="C6" i="2"/>
  <c r="E6" i="2" s="1" a="1"/>
  <c r="E6" i="2" s="1"/>
  <c r="C7" i="2"/>
  <c r="E7" i="2" s="1" a="1"/>
  <c r="E7" i="2" s="1"/>
  <c r="C8" i="2"/>
  <c r="E8" i="2" s="1" a="1"/>
  <c r="E8" i="2" s="1"/>
  <c r="C9" i="2"/>
  <c r="C10" i="2"/>
  <c r="C11" i="2"/>
  <c r="C12" i="2"/>
  <c r="E12" i="2" s="1" a="1"/>
  <c r="E12" i="2" s="1"/>
  <c r="C13" i="2"/>
  <c r="E13" i="2" s="1" a="1"/>
  <c r="E13" i="2" s="1"/>
  <c r="C14" i="2"/>
  <c r="E14" i="2" s="1" a="1"/>
  <c r="E14" i="2" s="1"/>
  <c r="C15" i="2"/>
  <c r="E15" i="2" s="1" a="1"/>
  <c r="E15" i="2" s="1"/>
  <c r="C16" i="2"/>
  <c r="E16" i="2" s="1" a="1"/>
  <c r="E16" i="2" s="1"/>
  <c r="C17" i="2"/>
  <c r="C18" i="2"/>
  <c r="C19" i="2"/>
  <c r="C20" i="2"/>
  <c r="E20" i="2" s="1" a="1"/>
  <c r="E20" i="2" s="1"/>
  <c r="H3" i="1"/>
  <c r="H4" i="1"/>
  <c r="H5" i="1"/>
  <c r="H6" i="1"/>
  <c r="H7" i="1"/>
  <c r="H8" i="1"/>
  <c r="H9" i="1"/>
  <c r="H10" i="1"/>
  <c r="G3" i="1"/>
  <c r="G4" i="1"/>
  <c r="G5" i="1"/>
  <c r="G6" i="1"/>
  <c r="G7" i="1"/>
  <c r="G8" i="1"/>
  <c r="G9" i="1"/>
  <c r="G10" i="1"/>
  <c r="F3" i="1"/>
  <c r="F4" i="1"/>
  <c r="F5" i="1"/>
  <c r="F6" i="1"/>
  <c r="F7" i="1"/>
  <c r="F8" i="1"/>
  <c r="F9" i="1"/>
  <c r="F10" i="1"/>
  <c r="E3" i="1"/>
  <c r="E4" i="1"/>
  <c r="E5" i="1"/>
  <c r="E6" i="1"/>
  <c r="E7" i="1"/>
  <c r="E8" i="1"/>
  <c r="E9" i="1"/>
  <c r="E10" i="1"/>
  <c r="D3" i="1"/>
  <c r="D4" i="1"/>
  <c r="D5" i="1"/>
  <c r="D6" i="1"/>
  <c r="D7" i="1"/>
  <c r="D8" i="1"/>
  <c r="D9" i="1"/>
  <c r="D10" i="1"/>
  <c r="C5" i="1"/>
  <c r="C3" i="1"/>
  <c r="C4" i="1"/>
  <c r="C6" i="1"/>
  <c r="C7" i="1"/>
  <c r="C8" i="1"/>
  <c r="C9" i="1"/>
  <c r="I9" i="1" s="1"/>
  <c r="C10" i="1"/>
  <c r="I10" i="1" s="1"/>
  <c r="I6" i="1" l="1"/>
  <c r="I8" i="1"/>
  <c r="I7" i="1"/>
  <c r="J3" i="1"/>
  <c r="K3" i="1" s="1"/>
  <c r="J5" i="1"/>
  <c r="K5" i="1" s="1"/>
  <c r="J4" i="1"/>
  <c r="K4" i="1" s="1"/>
  <c r="J10" i="1"/>
  <c r="K10" i="1" s="1"/>
  <c r="J8" i="1"/>
  <c r="K8" i="1" s="1"/>
  <c r="J6" i="1"/>
  <c r="K6" i="1" s="1"/>
  <c r="J7" i="1"/>
  <c r="K7" i="1" s="1"/>
  <c r="I4" i="1"/>
  <c r="J9" i="1"/>
  <c r="K9" i="1" s="1"/>
  <c r="I5" i="1"/>
  <c r="I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<sst xmlns="http://schemas.openxmlformats.org/spreadsheetml/2006/main" count="22" uniqueCount="22">
  <si>
    <t>Student Name</t>
  </si>
  <si>
    <t>Kokugo</t>
  </si>
  <si>
    <t>Sansu</t>
  </si>
  <si>
    <t>Taiiku</t>
  </si>
  <si>
    <t>Ongaku</t>
  </si>
  <si>
    <t>Zuga Kosaku</t>
  </si>
  <si>
    <t>Dotoku</t>
  </si>
  <si>
    <t>Total</t>
  </si>
  <si>
    <t>Average</t>
  </si>
  <si>
    <t>Grade</t>
  </si>
  <si>
    <t>Hana</t>
  </si>
  <si>
    <t>Haruto</t>
  </si>
  <si>
    <t>Aoi</t>
  </si>
  <si>
    <t>Kenji</t>
  </si>
  <si>
    <t>Hiro</t>
  </si>
  <si>
    <t>Yumi</t>
  </si>
  <si>
    <t>Ren</t>
  </si>
  <si>
    <t>Hima</t>
  </si>
  <si>
    <t>Date</t>
  </si>
  <si>
    <t>Daily Sales</t>
  </si>
  <si>
    <t>Target Sales</t>
  </si>
  <si>
    <t>Performance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</si>
</sst>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¥-411]#,##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2">
    <dxf>
      <numFmt numFmtId="165" formatCode="[$¥-411]#,##0"/>
    </dxf>
    <dxf>
      <numFmt numFmtId="0" formatCode="General"/>
    </dxf>
    <dxf>
      <numFmt numFmtId="165" formatCode="[$¥-411]#,##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932FE0-0E5B-45FD-BD29-32ADA9053484}" name="Table1" displayName="Table1" ref="B2:K10" totalsRowShown="0">
  <autoFilter ref="B2:K10" xr:uid="{9A932FE0-0E5B-45FD-BD29-32ADA9053484}"/>
  <tableColumns count="10">
    <tableColumn id="1" xr3:uid="{EB8A4B10-ACFA-4671-B737-86A47FCB9DCE}" name="Student Name"/>
    <tableColumn id="2" xr3:uid="{366D5CC5-49FB-428F-938B-D3941D0052CD}" name="Kokugo" dataDxfId="11">
      <calculatedColumnFormula>RANDBETWEEN(50,100)</calculatedColumnFormula>
    </tableColumn>
    <tableColumn id="3" xr3:uid="{0B4B2A08-ED58-4763-A091-1A5F2A106BB2}" name="Sansu" dataDxfId="10">
      <calculatedColumnFormula>RANDBETWEEN(50,100)</calculatedColumnFormula>
    </tableColumn>
    <tableColumn id="4" xr3:uid="{6B973466-F872-468A-91E0-7E19B85430A4}" name="Taiiku" dataDxfId="9">
      <calculatedColumnFormula>RANDBETWEEN(50,100)</calculatedColumnFormula>
    </tableColumn>
    <tableColumn id="5" xr3:uid="{DBB74974-4D38-43E8-A03F-0F341CF53747}" name="Ongaku" dataDxfId="8">
      <calculatedColumnFormula>RANDBETWEEN(50,100)</calculatedColumnFormula>
    </tableColumn>
    <tableColumn id="6" xr3:uid="{1C8DA3F2-5753-40BB-A075-8CE2F7BDA275}" name="Zuga Kosaku" dataDxfId="7">
      <calculatedColumnFormula>RANDBETWEEN(50,100)</calculatedColumnFormula>
    </tableColumn>
    <tableColumn id="7" xr3:uid="{CAED294F-F48E-42CE-8F85-3AE06FBF1E6E}" name="Dotoku" dataDxfId="6">
      <calculatedColumnFormula>RANDBETWEEN(50,100)</calculatedColumnFormula>
    </tableColumn>
    <tableColumn id="8" xr3:uid="{47D7A4E4-4675-414A-89C3-FFF6EDFA2C9B}" name="Total" dataDxfId="5">
      <calculatedColumnFormula>SUM(C3,D3,E3,F3,G3,H3)</calculatedColumnFormula>
    </tableColumn>
    <tableColumn id="9" xr3:uid="{1E24CF9A-7077-49C7-A700-AC7EB42F79C8}" name="Average" dataDxfId="4">
      <calculatedColumnFormula>AVERAGE(C3,D3,E3,F3,G3,H3)</calculatedColumnFormula>
    </tableColumn>
    <tableColumn id="10" xr3:uid="{6D879CE8-5175-42BA-B92E-56D1ECBBE3A1}" name="Grade" dataDxfId="3">
      <calculatedColumnFormula>IF(Table1[[#This Row],[Average]]&gt;=85,"◎",IF(Table1[[#This Row],[Average]]&gt;=60,"○","△"))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40E901-92CA-4C05-9096-0D75343139E1}" name="Table2" displayName="Table2" ref="B2:E20" totalsRowShown="0">
  <autoFilter ref="B2:E20" xr:uid="{8C40E901-92CA-4C05-9096-0D75343139E1}"/>
  <tableColumns count="4">
    <tableColumn id="1" xr3:uid="{BB235E6B-E6D6-45ED-B04E-18B1B54F9D1C}" name="Date"/>
    <tableColumn id="2" xr3:uid="{18AEAFB0-F51F-47DA-9101-104C131B8793}" name="Daily Sales" dataDxfId="2">
      <calculatedColumnFormula>RANDBETWEEN(1400000,2000000)</calculatedColumnFormula>
    </tableColumn>
    <tableColumn id="3" xr3:uid="{158485DD-BE9E-4E0E-B427-F7B449B4B53D}" name="Target Sales" dataDxfId="0"/>
    <tableColumn id="4" xr3:uid="{D3284BC2-577B-447C-BA8C-9DE7F7471D2F}" name="Performance Flag" dataDxfId="1">
      <calculatedColumnFormula array="1">_xlfn.IFS(Table2[[#This Row],[Daily Sales]]&gt;=Table2[[#This Row],[Target Sales]]*1.1,"大幅達成",Table2[[#This Row],[Daily Sales]]&gt;=Table2[[#This Row],[Target Sales]],"目標達成",Table2[[#This Row],[Daily Sales]]&gt;=Table2[[#This Row],[Target Sales]]*0.9,"ほぼ達成",TRUE,"大幅未達成")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53CA4-DA88-4F83-B4C5-3F8A51E938E7}">
  <dimension ref="B2:K10"/>
  <sheetViews>
    <sheetView workbookViewId="0">
      <selection activeCell="C6" sqref="C6"/>
    </sheetView>
  </sheetViews>
  <sheetFormatPr defaultRowHeight="14.5" x14ac:dyDescent="0.35"/>
  <cols>
    <col min="2" max="4" width="14.6328125" customWidth="1"/>
    <col min="5" max="5" width="16.1796875" customWidth="1"/>
    <col min="6" max="6" width="14.6328125" customWidth="1"/>
    <col min="7" max="7" width="16.6328125" customWidth="1"/>
    <col min="8" max="8" width="13.54296875" customWidth="1"/>
    <col min="9" max="9" width="11.90625" customWidth="1"/>
    <col min="10" max="10" width="11.36328125" customWidth="1"/>
  </cols>
  <sheetData>
    <row r="2" spans="2:11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2:11" x14ac:dyDescent="0.35">
      <c r="B3" t="s">
        <v>10</v>
      </c>
      <c r="C3">
        <f t="shared" ref="C3:C10" ca="1" si="0">RANDBETWEEN(50,100)</f>
        <v>69</v>
      </c>
      <c r="D3">
        <f t="shared" ref="D3:D10" ca="1" si="1">RANDBETWEEN(50,100)</f>
        <v>53</v>
      </c>
      <c r="E3">
        <f t="shared" ref="E3:E10" ca="1" si="2">RANDBETWEEN(50,100)</f>
        <v>69</v>
      </c>
      <c r="F3">
        <f t="shared" ref="F3:F10" ca="1" si="3">RANDBETWEEN(50,100)</f>
        <v>64</v>
      </c>
      <c r="G3">
        <f t="shared" ref="G3:G10" ca="1" si="4">RANDBETWEEN(50,100)</f>
        <v>75</v>
      </c>
      <c r="H3">
        <f t="shared" ref="H3:H10" ca="1" si="5">RANDBETWEEN(50,100)</f>
        <v>62</v>
      </c>
      <c r="I3">
        <f t="shared" ref="I3:I10" ca="1" si="6">SUM(C3,D3,E3,F3,G3,H3)</f>
        <v>392</v>
      </c>
      <c r="J3">
        <f t="shared" ref="J3:J10" ca="1" si="7">AVERAGE(C3,D3,E3,F3,G3,H3)</f>
        <v>65.333333333333329</v>
      </c>
      <c r="K3" s="1" t="str">
        <f ca="1">IF(Table1[[#This Row],[Average]]&gt;=85,"◎",IF(Table1[[#This Row],[Average]]&gt;=60,"○","△"))</f>
        <v>○</v>
      </c>
    </row>
    <row r="4" spans="2:11" x14ac:dyDescent="0.35">
      <c r="B4" t="s">
        <v>11</v>
      </c>
      <c r="C4">
        <f t="shared" ca="1" si="0"/>
        <v>93</v>
      </c>
      <c r="D4">
        <f t="shared" ca="1" si="1"/>
        <v>58</v>
      </c>
      <c r="E4">
        <f t="shared" ca="1" si="2"/>
        <v>57</v>
      </c>
      <c r="F4">
        <f t="shared" ca="1" si="3"/>
        <v>90</v>
      </c>
      <c r="G4">
        <f t="shared" ca="1" si="4"/>
        <v>79</v>
      </c>
      <c r="H4">
        <f t="shared" ca="1" si="5"/>
        <v>74</v>
      </c>
      <c r="I4">
        <f t="shared" ca="1" si="6"/>
        <v>451</v>
      </c>
      <c r="J4">
        <f t="shared" ca="1" si="7"/>
        <v>75.166666666666671</v>
      </c>
      <c r="K4" s="1" t="str">
        <f ca="1">IF(Table1[[#This Row],[Average]]&gt;=85,"◎",IF(Table1[[#This Row],[Average]]&gt;=60,"○","△"))</f>
        <v>○</v>
      </c>
    </row>
    <row r="5" spans="2:11" x14ac:dyDescent="0.35">
      <c r="B5" t="s">
        <v>12</v>
      </c>
      <c r="C5">
        <f t="shared" ca="1" si="0"/>
        <v>60</v>
      </c>
      <c r="D5">
        <f t="shared" ca="1" si="1"/>
        <v>59</v>
      </c>
      <c r="E5">
        <f t="shared" ca="1" si="2"/>
        <v>87</v>
      </c>
      <c r="F5">
        <f t="shared" ca="1" si="3"/>
        <v>69</v>
      </c>
      <c r="G5">
        <f t="shared" ca="1" si="4"/>
        <v>62</v>
      </c>
      <c r="H5">
        <f t="shared" ca="1" si="5"/>
        <v>81</v>
      </c>
      <c r="I5">
        <f t="shared" ca="1" si="6"/>
        <v>418</v>
      </c>
      <c r="J5">
        <f t="shared" ca="1" si="7"/>
        <v>69.666666666666671</v>
      </c>
      <c r="K5" s="1" t="str">
        <f ca="1">IF(Table1[[#This Row],[Average]]&gt;=85,"◎",IF(Table1[[#This Row],[Average]]&gt;=60,"○","△"))</f>
        <v>○</v>
      </c>
    </row>
    <row r="6" spans="2:11" x14ac:dyDescent="0.35">
      <c r="B6" t="s">
        <v>13</v>
      </c>
      <c r="C6">
        <f t="shared" ca="1" si="0"/>
        <v>52</v>
      </c>
      <c r="D6">
        <f t="shared" ca="1" si="1"/>
        <v>54</v>
      </c>
      <c r="E6">
        <f t="shared" ca="1" si="2"/>
        <v>54</v>
      </c>
      <c r="F6">
        <f t="shared" ca="1" si="3"/>
        <v>51</v>
      </c>
      <c r="G6">
        <f t="shared" ca="1" si="4"/>
        <v>67</v>
      </c>
      <c r="H6">
        <f t="shared" ca="1" si="5"/>
        <v>60</v>
      </c>
      <c r="I6">
        <f t="shared" ca="1" si="6"/>
        <v>338</v>
      </c>
      <c r="J6">
        <f t="shared" ca="1" si="7"/>
        <v>56.333333333333336</v>
      </c>
      <c r="K6" s="1" t="str">
        <f ca="1">IF(Table1[[#This Row],[Average]]&gt;=85,"◎",IF(Table1[[#This Row],[Average]]&gt;=60,"○","△"))</f>
        <v>△</v>
      </c>
    </row>
    <row r="7" spans="2:11" x14ac:dyDescent="0.35">
      <c r="B7" t="s">
        <v>14</v>
      </c>
      <c r="C7">
        <f t="shared" ca="1" si="0"/>
        <v>87</v>
      </c>
      <c r="D7">
        <f t="shared" ca="1" si="1"/>
        <v>72</v>
      </c>
      <c r="E7">
        <f t="shared" ca="1" si="2"/>
        <v>64</v>
      </c>
      <c r="F7">
        <f t="shared" ca="1" si="3"/>
        <v>77</v>
      </c>
      <c r="G7">
        <f t="shared" ca="1" si="4"/>
        <v>52</v>
      </c>
      <c r="H7">
        <f t="shared" ca="1" si="5"/>
        <v>54</v>
      </c>
      <c r="I7">
        <f t="shared" ca="1" si="6"/>
        <v>406</v>
      </c>
      <c r="J7">
        <f t="shared" ca="1" si="7"/>
        <v>67.666666666666671</v>
      </c>
      <c r="K7" s="1" t="str">
        <f ca="1">IF(Table1[[#This Row],[Average]]&gt;=85,"◎",IF(Table1[[#This Row],[Average]]&gt;=60,"○","△"))</f>
        <v>○</v>
      </c>
    </row>
    <row r="8" spans="2:11" x14ac:dyDescent="0.35">
      <c r="B8" t="s">
        <v>15</v>
      </c>
      <c r="C8">
        <f t="shared" ca="1" si="0"/>
        <v>57</v>
      </c>
      <c r="D8">
        <f t="shared" ca="1" si="1"/>
        <v>74</v>
      </c>
      <c r="E8">
        <f t="shared" ca="1" si="2"/>
        <v>58</v>
      </c>
      <c r="F8">
        <f t="shared" ca="1" si="3"/>
        <v>84</v>
      </c>
      <c r="G8">
        <f t="shared" ca="1" si="4"/>
        <v>88</v>
      </c>
      <c r="H8">
        <f t="shared" ca="1" si="5"/>
        <v>87</v>
      </c>
      <c r="I8">
        <f t="shared" ca="1" si="6"/>
        <v>448</v>
      </c>
      <c r="J8">
        <f t="shared" ca="1" si="7"/>
        <v>74.666666666666671</v>
      </c>
      <c r="K8" s="1" t="str">
        <f ca="1">IF(Table1[[#This Row],[Average]]&gt;=85,"◎",IF(Table1[[#This Row],[Average]]&gt;=60,"○","△"))</f>
        <v>○</v>
      </c>
    </row>
    <row r="9" spans="2:11" x14ac:dyDescent="0.35">
      <c r="B9" t="s">
        <v>16</v>
      </c>
      <c r="C9">
        <f t="shared" ca="1" si="0"/>
        <v>85</v>
      </c>
      <c r="D9">
        <f t="shared" ca="1" si="1"/>
        <v>69</v>
      </c>
      <c r="E9">
        <f t="shared" ca="1" si="2"/>
        <v>95</v>
      </c>
      <c r="F9">
        <f t="shared" ca="1" si="3"/>
        <v>62</v>
      </c>
      <c r="G9">
        <f t="shared" ca="1" si="4"/>
        <v>76</v>
      </c>
      <c r="H9">
        <f t="shared" ca="1" si="5"/>
        <v>75</v>
      </c>
      <c r="I9">
        <f t="shared" ca="1" si="6"/>
        <v>462</v>
      </c>
      <c r="J9">
        <f t="shared" ca="1" si="7"/>
        <v>77</v>
      </c>
      <c r="K9" s="1" t="str">
        <f ca="1">IF(Table1[[#This Row],[Average]]&gt;=85,"◎",IF(Table1[[#This Row],[Average]]&gt;=60,"○","△"))</f>
        <v>○</v>
      </c>
    </row>
    <row r="10" spans="2:11" x14ac:dyDescent="0.35">
      <c r="B10" t="s">
        <v>17</v>
      </c>
      <c r="C10">
        <f t="shared" ca="1" si="0"/>
        <v>50</v>
      </c>
      <c r="D10">
        <f t="shared" ca="1" si="1"/>
        <v>54</v>
      </c>
      <c r="E10">
        <f t="shared" ca="1" si="2"/>
        <v>90</v>
      </c>
      <c r="F10">
        <f t="shared" ca="1" si="3"/>
        <v>55</v>
      </c>
      <c r="G10">
        <f t="shared" ca="1" si="4"/>
        <v>56</v>
      </c>
      <c r="H10">
        <f t="shared" ca="1" si="5"/>
        <v>54</v>
      </c>
      <c r="I10">
        <f t="shared" ca="1" si="6"/>
        <v>359</v>
      </c>
      <c r="J10">
        <f t="shared" ca="1" si="7"/>
        <v>59.833333333333336</v>
      </c>
      <c r="K10" s="1" t="str">
        <f ca="1">IF(Table1[[#This Row],[Average]]&gt;=85,"◎",IF(Table1[[#This Row],[Average]]&gt;=60,"○","△"))</f>
        <v>△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E382-440F-4298-8381-D10E6B4DCB4E}">
  <dimension ref="B2:E20"/>
  <sheetViews>
    <sheetView tabSelected="1" workbookViewId="0">
      <selection activeCell="G18" sqref="G18"/>
    </sheetView>
  </sheetViews>
  <sheetFormatPr defaultRowHeight="14.5" x14ac:dyDescent="0.35"/>
  <cols>
    <col min="2" max="2" width="10.54296875" bestFit="1" customWidth="1"/>
    <col min="3" max="3" width="11.81640625" style="3" bestFit="1" customWidth="1"/>
    <col min="4" max="4" width="13.08984375" style="3" bestFit="1" customWidth="1"/>
    <col min="5" max="5" width="17.7265625" bestFit="1" customWidth="1"/>
  </cols>
  <sheetData>
    <row r="2" spans="2:5" x14ac:dyDescent="0.35">
      <c r="B2" t="s">
        <v>18</v>
      </c>
      <c r="C2" s="3" t="s">
        <v>19</v>
      </c>
      <c r="D2" s="3" t="s">
        <v>20</v>
      </c>
      <c r="E2" t="s">
        <v>21</v>
      </c>
    </row>
    <row r="3" spans="2:5" x14ac:dyDescent="0.35">
      <c r="B3" s="2">
        <v>46054</v>
      </c>
      <c r="C3" s="3">
        <f t="shared" ref="C3:C20" ca="1" si="0">RANDBETWEEN(1400000,2000000)</f>
        <v>1928967</v>
      </c>
      <c r="D3" s="3">
        <v>1400000</v>
      </c>
      <c r="E3" t="str" cm="1">
        <f t="array" aca="1" ref="E3" ca="1">_xlfn.IFS(Table2[[#This Row],[Daily Sales]]&gt;=Table2[[#This Row],[Target Sales]]*1.1,"大幅達成",Table2[[#This Row],[Daily Sales]]&gt;=Table2[[#This Row],[Target Sales]],"目標達成",Table2[[#This Row],[Daily Sales]]&gt;=Table2[[#This Row],[Target Sales]]*0.9,"ほぼ達成",TRUE,"大幅未達成")</f>
        <v>大幅達成</v>
      </c>
    </row>
    <row r="4" spans="2:5" x14ac:dyDescent="0.35">
      <c r="B4" s="2">
        <v>46055</v>
      </c>
      <c r="C4" s="3">
        <f t="shared" ca="1" si="0"/>
        <v>1852014</v>
      </c>
      <c r="D4" s="3">
        <v>1400000</v>
      </c>
      <c r="E4" t="str" cm="1">
        <f t="array" aca="1" ref="E4" ca="1">_xlfn.IFS(Table2[[#This Row],[Daily Sales]]&gt;=Table2[[#This Row],[Target Sales]]*1.1,"大幅達成",Table2[[#This Row],[Daily Sales]]&gt;=Table2[[#This Row],[Target Sales]],"目標達成",Table2[[#This Row],[Daily Sales]]&gt;=Table2[[#This Row],[Target Sales]]*0.9,"ほぼ達成",TRUE,"大幅未達成")</f>
        <v>大幅達成</v>
      </c>
    </row>
    <row r="5" spans="2:5" x14ac:dyDescent="0.35">
      <c r="B5" s="2">
        <v>46056</v>
      </c>
      <c r="C5" s="3">
        <f t="shared" ca="1" si="0"/>
        <v>1869335</v>
      </c>
      <c r="D5" s="3">
        <v>1400000</v>
      </c>
      <c r="E5" t="str" cm="1">
        <f t="array" aca="1" ref="E5" ca="1">_xlfn.IFS(Table2[[#This Row],[Daily Sales]]&gt;=Table2[[#This Row],[Target Sales]]*1.1,"大幅達成",Table2[[#This Row],[Daily Sales]]&gt;=Table2[[#This Row],[Target Sales]],"目標達成",Table2[[#This Row],[Daily Sales]]&gt;=Table2[[#This Row],[Target Sales]]*0.9,"ほぼ達成",TRUE,"大幅未達成")</f>
        <v>大幅達成</v>
      </c>
    </row>
    <row r="6" spans="2:5" x14ac:dyDescent="0.35">
      <c r="B6" s="2">
        <v>46057</v>
      </c>
      <c r="C6" s="3">
        <f t="shared" ca="1" si="0"/>
        <v>1653652</v>
      </c>
      <c r="D6" s="3">
        <v>1400000</v>
      </c>
      <c r="E6" t="str" cm="1">
        <f t="array" aca="1" ref="E6" ca="1">_xlfn.IFS(Table2[[#This Row],[Daily Sales]]&gt;=Table2[[#This Row],[Target Sales]]*1.1,"大幅達成",Table2[[#This Row],[Daily Sales]]&gt;=Table2[[#This Row],[Target Sales]],"目標達成",Table2[[#This Row],[Daily Sales]]&gt;=Table2[[#This Row],[Target Sales]]*0.9,"ほぼ達成",TRUE,"大幅未達成")</f>
        <v>大幅達成</v>
      </c>
    </row>
    <row r="7" spans="2:5" x14ac:dyDescent="0.35">
      <c r="B7" s="2">
        <v>46058</v>
      </c>
      <c r="C7" s="3">
        <f t="shared" ca="1" si="0"/>
        <v>1726994</v>
      </c>
      <c r="D7" s="3">
        <v>1400000</v>
      </c>
      <c r="E7" t="str" cm="1">
        <f t="array" aca="1" ref="E7" ca="1">_xlfn.IFS(Table2[[#This Row],[Daily Sales]]&gt;=Table2[[#This Row],[Target Sales]]*1.1,"大幅達成",Table2[[#This Row],[Daily Sales]]&gt;=Table2[[#This Row],[Target Sales]],"目標達成",Table2[[#This Row],[Daily Sales]]&gt;=Table2[[#This Row],[Target Sales]]*0.9,"ほぼ達成",TRUE,"大幅未達成")</f>
        <v>大幅達成</v>
      </c>
    </row>
    <row r="8" spans="2:5" x14ac:dyDescent="0.35">
      <c r="B8" s="2">
        <v>46059</v>
      </c>
      <c r="C8" s="3">
        <f t="shared" ca="1" si="0"/>
        <v>1647381</v>
      </c>
      <c r="D8" s="3">
        <v>1400000</v>
      </c>
      <c r="E8" t="str" cm="1">
        <f t="array" aca="1" ref="E8" ca="1">_xlfn.IFS(Table2[[#This Row],[Daily Sales]]&gt;=Table2[[#This Row],[Target Sales]]*1.1,"大幅達成",Table2[[#This Row],[Daily Sales]]&gt;=Table2[[#This Row],[Target Sales]],"目標達成",Table2[[#This Row],[Daily Sales]]&gt;=Table2[[#This Row],[Target Sales]]*0.9,"ほぼ達成",TRUE,"大幅未達成")</f>
        <v>大幅達成</v>
      </c>
    </row>
    <row r="9" spans="2:5" x14ac:dyDescent="0.35">
      <c r="B9" s="2">
        <v>46060</v>
      </c>
      <c r="C9" s="3">
        <f t="shared" ca="1" si="0"/>
        <v>1737725</v>
      </c>
      <c r="D9" s="3">
        <v>1400000</v>
      </c>
      <c r="E9" t="str" cm="1">
        <f t="array" aca="1" ref="E9" ca="1">_xlfn.IFS(Table2[[#This Row],[Daily Sales]]&gt;=Table2[[#This Row],[Target Sales]]*1.1,"大幅達成",Table2[[#This Row],[Daily Sales]]&gt;=Table2[[#This Row],[Target Sales]],"目標達成",Table2[[#This Row],[Daily Sales]]&gt;=Table2[[#This Row],[Target Sales]]*0.9,"ほぼ達成",TRUE,"大幅未達成")</f>
        <v>大幅達成</v>
      </c>
    </row>
    <row r="10" spans="2:5" x14ac:dyDescent="0.35">
      <c r="B10" s="2">
        <v>46061</v>
      </c>
      <c r="C10" s="3">
        <f t="shared" ca="1" si="0"/>
        <v>1494682</v>
      </c>
      <c r="D10" s="3">
        <v>1400000</v>
      </c>
      <c r="E10" t="str" cm="1">
        <f t="array" aca="1" ref="E10" ca="1">_xlfn.IFS(Table2[[#This Row],[Daily Sales]]&gt;=Table2[[#This Row],[Target Sales]]*1.1,"大幅達成",Table2[[#This Row],[Daily Sales]]&gt;=Table2[[#This Row],[Target Sales]],"目標達成",Table2[[#This Row],[Daily Sales]]&gt;=Table2[[#This Row],[Target Sales]]*0.9,"ほぼ達成",TRUE,"大幅未達成")</f>
        <v>目標達成</v>
      </c>
    </row>
    <row r="11" spans="2:5" x14ac:dyDescent="0.35">
      <c r="B11" s="2">
        <v>46062</v>
      </c>
      <c r="C11" s="3">
        <f t="shared" ca="1" si="0"/>
        <v>1935201</v>
      </c>
      <c r="D11" s="3">
        <v>1400000</v>
      </c>
      <c r="E11" t="str" cm="1">
        <f t="array" aca="1" ref="E11" ca="1">_xlfn.IFS(Table2[[#This Row],[Daily Sales]]&gt;=Table2[[#This Row],[Target Sales]]*1.1,"大幅達成",Table2[[#This Row],[Daily Sales]]&gt;=Table2[[#This Row],[Target Sales]],"目標達成",Table2[[#This Row],[Daily Sales]]&gt;=Table2[[#This Row],[Target Sales]]*0.9,"ほぼ達成",TRUE,"大幅未達成")</f>
        <v>大幅達成</v>
      </c>
    </row>
    <row r="12" spans="2:5" x14ac:dyDescent="0.35">
      <c r="B12" s="2">
        <v>46063</v>
      </c>
      <c r="C12" s="3">
        <f t="shared" ca="1" si="0"/>
        <v>1868081</v>
      </c>
      <c r="D12" s="3">
        <v>1400000</v>
      </c>
      <c r="E12" t="str" cm="1">
        <f t="array" aca="1" ref="E12" ca="1">_xlfn.IFS(Table2[[#This Row],[Daily Sales]]&gt;=Table2[[#This Row],[Target Sales]]*1.1,"大幅達成",Table2[[#This Row],[Daily Sales]]&gt;=Table2[[#This Row],[Target Sales]],"目標達成",Table2[[#This Row],[Daily Sales]]&gt;=Table2[[#This Row],[Target Sales]]*0.9,"ほぼ達成",TRUE,"大幅未達成")</f>
        <v>大幅達成</v>
      </c>
    </row>
    <row r="13" spans="2:5" x14ac:dyDescent="0.35">
      <c r="B13" s="2">
        <v>46064</v>
      </c>
      <c r="C13" s="3">
        <f t="shared" ca="1" si="0"/>
        <v>1532188</v>
      </c>
      <c r="D13" s="3">
        <v>1400000</v>
      </c>
      <c r="E13" t="str" cm="1">
        <f t="array" aca="1" ref="E13" ca="1">_xlfn.IFS(Table2[[#This Row],[Daily Sales]]&gt;=Table2[[#This Row],[Target Sales]]*1.1,"大幅達成",Table2[[#This Row],[Daily Sales]]&gt;=Table2[[#This Row],[Target Sales]],"目標達成",Table2[[#This Row],[Daily Sales]]&gt;=Table2[[#This Row],[Target Sales]]*0.9,"ほぼ達成",TRUE,"大幅未達成")</f>
        <v>目標達成</v>
      </c>
    </row>
    <row r="14" spans="2:5" x14ac:dyDescent="0.35">
      <c r="B14" s="2">
        <v>46065</v>
      </c>
      <c r="C14" s="3">
        <f t="shared" ca="1" si="0"/>
        <v>1617531</v>
      </c>
      <c r="D14" s="3">
        <v>1400000</v>
      </c>
      <c r="E14" t="str" cm="1">
        <f t="array" aca="1" ref="E14" ca="1">_xlfn.IFS(Table2[[#This Row],[Daily Sales]]&gt;=Table2[[#This Row],[Target Sales]]*1.1,"大幅達成",Table2[[#This Row],[Daily Sales]]&gt;=Table2[[#This Row],[Target Sales]],"目標達成",Table2[[#This Row],[Daily Sales]]&gt;=Table2[[#This Row],[Target Sales]]*0.9,"ほぼ達成",TRUE,"大幅未達成")</f>
        <v>大幅達成</v>
      </c>
    </row>
    <row r="15" spans="2:5" x14ac:dyDescent="0.35">
      <c r="B15" s="2">
        <v>46066</v>
      </c>
      <c r="C15" s="3">
        <f t="shared" ca="1" si="0"/>
        <v>1425449</v>
      </c>
      <c r="D15" s="3">
        <v>1400000</v>
      </c>
      <c r="E15" t="str" cm="1">
        <f t="array" aca="1" ref="E15" ca="1">_xlfn.IFS(Table2[[#This Row],[Daily Sales]]&gt;=Table2[[#This Row],[Target Sales]]*1.1,"大幅達成",Table2[[#This Row],[Daily Sales]]&gt;=Table2[[#This Row],[Target Sales]],"目標達成",Table2[[#This Row],[Daily Sales]]&gt;=Table2[[#This Row],[Target Sales]]*0.9,"ほぼ達成",TRUE,"大幅未達成")</f>
        <v>目標達成</v>
      </c>
    </row>
    <row r="16" spans="2:5" x14ac:dyDescent="0.35">
      <c r="B16" s="2">
        <v>46067</v>
      </c>
      <c r="C16" s="3">
        <f t="shared" ca="1" si="0"/>
        <v>1729809</v>
      </c>
      <c r="D16" s="3">
        <v>1400000</v>
      </c>
      <c r="E16" t="str" cm="1">
        <f t="array" aca="1" ref="E16" ca="1">_xlfn.IFS(Table2[[#This Row],[Daily Sales]]&gt;=Table2[[#This Row],[Target Sales]]*1.1,"大幅達成",Table2[[#This Row],[Daily Sales]]&gt;=Table2[[#This Row],[Target Sales]],"目標達成",Table2[[#This Row],[Daily Sales]]&gt;=Table2[[#This Row],[Target Sales]]*0.9,"ほぼ達成",TRUE,"大幅未達成")</f>
        <v>大幅達成</v>
      </c>
    </row>
    <row r="17" spans="2:5" x14ac:dyDescent="0.35">
      <c r="B17" s="2">
        <v>46068</v>
      </c>
      <c r="C17" s="3">
        <f t="shared" ca="1" si="0"/>
        <v>1683490</v>
      </c>
      <c r="D17" s="3">
        <v>1400000</v>
      </c>
      <c r="E17" t="str" cm="1">
        <f t="array" aca="1" ref="E17" ca="1">_xlfn.IFS(Table2[[#This Row],[Daily Sales]]&gt;=Table2[[#This Row],[Target Sales]]*1.1,"大幅達成",Table2[[#This Row],[Daily Sales]]&gt;=Table2[[#This Row],[Target Sales]],"目標達成",Table2[[#This Row],[Daily Sales]]&gt;=Table2[[#This Row],[Target Sales]]*0.9,"ほぼ達成",TRUE,"大幅未達成")</f>
        <v>大幅達成</v>
      </c>
    </row>
    <row r="18" spans="2:5" x14ac:dyDescent="0.35">
      <c r="B18" s="2">
        <v>46069</v>
      </c>
      <c r="C18" s="3">
        <f t="shared" ca="1" si="0"/>
        <v>1920727</v>
      </c>
      <c r="D18" s="3">
        <v>1400000</v>
      </c>
      <c r="E18" t="str" cm="1">
        <f t="array" aca="1" ref="E18" ca="1">_xlfn.IFS(Table2[[#This Row],[Daily Sales]]&gt;=Table2[[#This Row],[Target Sales]]*1.1,"大幅達成",Table2[[#This Row],[Daily Sales]]&gt;=Table2[[#This Row],[Target Sales]],"目標達成",Table2[[#This Row],[Daily Sales]]&gt;=Table2[[#This Row],[Target Sales]]*0.9,"ほぼ達成",TRUE,"大幅未達成")</f>
        <v>大幅達成</v>
      </c>
    </row>
    <row r="19" spans="2:5" x14ac:dyDescent="0.35">
      <c r="B19" s="2">
        <v>46070</v>
      </c>
      <c r="C19" s="3">
        <f t="shared" ca="1" si="0"/>
        <v>1731386</v>
      </c>
      <c r="D19" s="3">
        <v>1400000</v>
      </c>
      <c r="E19" t="str" cm="1">
        <f t="array" aca="1" ref="E19" ca="1">_xlfn.IFS(Table2[[#This Row],[Daily Sales]]&gt;=Table2[[#This Row],[Target Sales]]*1.1,"大幅達成",Table2[[#This Row],[Daily Sales]]&gt;=Table2[[#This Row],[Target Sales]],"目標達成",Table2[[#This Row],[Daily Sales]]&gt;=Table2[[#This Row],[Target Sales]]*0.9,"ほぼ達成",TRUE,"大幅未達成")</f>
        <v>大幅達成</v>
      </c>
    </row>
    <row r="20" spans="2:5" x14ac:dyDescent="0.35">
      <c r="B20" s="2">
        <v>46071</v>
      </c>
      <c r="C20" s="3">
        <f t="shared" ca="1" si="0"/>
        <v>1974674</v>
      </c>
      <c r="D20" s="3">
        <v>1400000</v>
      </c>
      <c r="E20" t="str" cm="1">
        <f t="array" aca="1" ref="E20" ca="1">_xlfn.IFS(Table2[[#This Row],[Daily Sales]]&gt;=Table2[[#This Row],[Target Sales]]*1.1,"大幅達成",Table2[[#This Row],[Daily Sales]]&gt;=Table2[[#This Row],[Target Sales]],"目標達成",Table2[[#This Row],[Daily Sales]]&gt;=Table2[[#This Row],[Target Sales]]*0.9,"ほぼ達成",TRUE,"大幅未達成")</f>
        <v>大幅達成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Nested IF</vt:lpstr>
      <vt:lpstr>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 kumar</dc:creator>
  <cp:lastModifiedBy>vimal kumar</cp:lastModifiedBy>
  <dcterms:created xsi:type="dcterms:W3CDTF">2026-02-18T08:20:36Z</dcterms:created>
  <dcterms:modified xsi:type="dcterms:W3CDTF">2026-02-18T09:48:52Z</dcterms:modified>
</cp:coreProperties>
</file>