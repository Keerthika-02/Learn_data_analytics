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6A60F059-9171-A845-B687-E445BB8117B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xpenses" sheetId="1" r:id="rId1"/>
    <sheet name="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2"/>
  <c r="C2" i="2"/>
  <c r="D2" i="2"/>
  <c r="E2" i="2"/>
  <c r="B3" i="2"/>
  <c r="A3" i="2"/>
  <c r="C3" i="2"/>
  <c r="D3" i="2"/>
  <c r="E3" i="2"/>
  <c r="B4" i="2"/>
  <c r="A4" i="2"/>
  <c r="C4" i="2"/>
  <c r="D4" i="2"/>
  <c r="E4" i="2"/>
  <c r="B5" i="2"/>
  <c r="A5" i="2"/>
  <c r="C5" i="2"/>
  <c r="D5" i="2"/>
  <c r="E5" i="2"/>
  <c r="B6" i="2"/>
  <c r="A6" i="2"/>
  <c r="C6" i="2"/>
  <c r="D6" i="2"/>
  <c r="E6" i="2"/>
</calcChain>
</file>

<file path=xl/sharedStrings.xml><?xml version="1.0" encoding="utf-8"?>
<sst xmlns="http://schemas.openxmlformats.org/spreadsheetml/2006/main" count="356" uniqueCount="32">
  <si>
    <t>Category</t>
  </si>
  <si>
    <t>Budget</t>
  </si>
  <si>
    <t>Food</t>
  </si>
  <si>
    <t>Transportation</t>
  </si>
  <si>
    <t>Entertainment</t>
  </si>
  <si>
    <t>Utilities</t>
  </si>
  <si>
    <t>Miscellaneous</t>
  </si>
  <si>
    <t>Date</t>
  </si>
  <si>
    <t>Amount</t>
  </si>
  <si>
    <t>Description</t>
  </si>
  <si>
    <t>Breakfast</t>
  </si>
  <si>
    <t>Train ticket</t>
  </si>
  <si>
    <t>Lunch</t>
  </si>
  <si>
    <t>Snack</t>
  </si>
  <si>
    <t>Dinner</t>
  </si>
  <si>
    <t>Movie</t>
  </si>
  <si>
    <t>Stationery</t>
  </si>
  <si>
    <t>Mobile bill</t>
  </si>
  <si>
    <t>Shopping</t>
  </si>
  <si>
    <t>Online subscription</t>
  </si>
  <si>
    <t>OTT recharge</t>
  </si>
  <si>
    <t>Internet bill</t>
  </si>
  <si>
    <t>Gift</t>
  </si>
  <si>
    <t>Game recharge</t>
  </si>
  <si>
    <t>Electricity bill</t>
  </si>
  <si>
    <t>Personal items</t>
  </si>
  <si>
    <t>Water bill</t>
  </si>
  <si>
    <t>Outing</t>
  </si>
  <si>
    <t>Festival expense</t>
  </si>
  <si>
    <t>Actual Spend</t>
  </si>
  <si>
    <t>Difference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</si>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</sst>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numFmt numFmtId="0" formatCode="General"/>
    </dxf>
    <dxf>
      <numFmt numFmtId="164" formatCode="[$¥-411]#,##0.00"/>
    </dxf>
    <dxf>
      <numFmt numFmtId="164" formatCode="[$¥-411]#,##0.00"/>
    </dxf>
    <dxf>
      <numFmt numFmtId="164" formatCode="[$¥-411]#,##0.00"/>
    </dxf>
    <dxf>
      <numFmt numFmtId="0" formatCode="General"/>
    </dxf>
    <dxf>
      <numFmt numFmtId="164" formatCode="[$¥-411]#,##0.00"/>
    </dxf>
    <dxf>
      <numFmt numFmtId="19" formatCode="dd/mm/yyyy"/>
    </dxf>
    <dxf>
      <numFmt numFmtId="164" formatCode="[$¥-411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A593F-80B7-FA45-A98D-63369FB6247F}" name="Table1" displayName="Table1" ref="A1:B6" totalsRowShown="0">
  <autoFilter ref="A1:B6" xr:uid="{DF5A593F-80B7-FA45-A98D-63369FB6247F}"/>
  <tableColumns count="2">
    <tableColumn id="1" xr3:uid="{D900AA0D-C8CF-0647-869A-1C4B387C806E}" name="Category"/>
    <tableColumn id="2" xr3:uid="{16550578-EAFE-B041-939F-BC9B92FDE47A}" name="Budget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BAD51C-C022-450D-8974-6067C44C1C81}" name="Table2" displayName="Table2" ref="A10:D210" totalsRowShown="0">
  <autoFilter ref="A10:D210" xr:uid="{79BAD51C-C022-450D-8974-6067C44C1C81}"/>
  <tableColumns count="4">
    <tableColumn id="1" xr3:uid="{019B4C29-1C40-44AA-8E0A-FDF094761B3C}" name="Date" dataDxfId="8"/>
    <tableColumn id="2" xr3:uid="{CE477371-CE11-4255-AA53-3907125BF41E}" name="Category"/>
    <tableColumn id="3" xr3:uid="{2FEFF9D7-1E45-4A71-9237-35530A45D134}" name="Amount" dataDxfId="7"/>
    <tableColumn id="4" xr3:uid="{D2A4D232-AA6D-4DB6-AC5E-2CC6E219698A}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440110-BE22-4DE5-A10A-CC678655C6C0}" name="Table3" displayName="Table3" ref="A1:E6" totalsRowShown="0">
  <autoFilter ref="A1:E6" xr:uid="{26440110-BE22-4DE5-A10A-CC678655C6C0}"/>
  <tableColumns count="5">
    <tableColumn id="1" xr3:uid="{1BD6F33F-3344-4CB1-B944-15A48A67DF5B}" name="Category" dataDxfId="6">
      <calculatedColumnFormula>Expenses!A2</calculatedColumnFormula>
    </tableColumn>
    <tableColumn id="2" xr3:uid="{958D1ADE-EEF4-41A0-A4F8-22A7D565CD43}" name="Budget" dataDxfId="5">
      <calculatedColumnFormula>Expenses!B2</calculatedColumnFormula>
    </tableColumn>
    <tableColumn id="3" xr3:uid="{455313C9-B84D-4606-AE2A-D2B0AD667323}" name="Actual Spend" dataDxfId="4">
      <calculatedColumnFormula>SUMIFS(Expenses!$C$11:$C$210, Expenses!$B$11:$B$210, A2)</calculatedColumnFormula>
    </tableColumn>
    <tableColumn id="4" xr3:uid="{01422086-8977-49DE-9582-7CDC53F4DE2A}" name="Difference" dataDxfId="3">
      <calculatedColumnFormula>B2-C2</calculatedColumnFormula>
    </tableColumn>
    <tableColumn id="5" xr3:uid="{6D9B3D5F-1786-4247-A862-DE7B6ADAA119}" name="Status" dataDxfId="2">
      <calculatedColumnFormula>IF(D2&lt;0, "OVER BUDGET", " UNDER BUDGET")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F788-7ED4-5748-89B5-C37E0F92DBC5}">
  <dimension ref="A1:E210"/>
  <sheetViews>
    <sheetView zoomScaleNormal="60" zoomScaleSheetLayoutView="100" workbookViewId="0">
      <selection activeCell="B17" sqref="B17"/>
    </sheetView>
  </sheetViews>
  <sheetFormatPr defaultRowHeight="15" x14ac:dyDescent="0.2"/>
  <cols>
    <col min="1" max="1" width="13.85546875" customWidth="1"/>
    <col min="2" max="2" width="13.046875" bestFit="1" customWidth="1"/>
    <col min="3" max="3" width="11.296875" style="1" bestFit="1" customWidth="1"/>
    <col min="4" max="4" width="13.046875" bestFit="1" customWidth="1"/>
    <col min="5" max="5" width="10.76171875" style="1" bestFit="1" customWidth="1"/>
  </cols>
  <sheetData>
    <row r="1" spans="1:4" x14ac:dyDescent="0.2">
      <c r="A1" t="s">
        <v>0</v>
      </c>
      <c r="B1" s="1" t="s">
        <v>1</v>
      </c>
    </row>
    <row r="2" spans="1:4" x14ac:dyDescent="0.2">
      <c r="A2" t="s">
        <v>2</v>
      </c>
      <c r="B2" s="1">
        <v>50000</v>
      </c>
    </row>
    <row r="3" spans="1:4" x14ac:dyDescent="0.2">
      <c r="A3" t="s">
        <v>3</v>
      </c>
      <c r="B3" s="1">
        <v>20000</v>
      </c>
    </row>
    <row r="4" spans="1:4" x14ac:dyDescent="0.2">
      <c r="A4" t="s">
        <v>4</v>
      </c>
      <c r="B4" s="1">
        <v>10000</v>
      </c>
    </row>
    <row r="5" spans="1:4" x14ac:dyDescent="0.2">
      <c r="A5" t="s">
        <v>5</v>
      </c>
      <c r="B5" s="1">
        <v>10000</v>
      </c>
    </row>
    <row r="6" spans="1:4" x14ac:dyDescent="0.2">
      <c r="A6" t="s">
        <v>6</v>
      </c>
      <c r="B6" s="1">
        <v>10000</v>
      </c>
    </row>
    <row r="10" spans="1:4" x14ac:dyDescent="0.2">
      <c r="A10" s="2" t="s">
        <v>7</v>
      </c>
      <c r="B10" t="s">
        <v>0</v>
      </c>
      <c r="C10" s="1" t="s">
        <v>8</v>
      </c>
      <c r="D10" t="s">
        <v>9</v>
      </c>
    </row>
    <row r="11" spans="1:4" x14ac:dyDescent="0.2">
      <c r="A11" s="2">
        <v>46023</v>
      </c>
      <c r="B11" t="s">
        <v>2</v>
      </c>
      <c r="C11" s="1">
        <v>250</v>
      </c>
      <c r="D11" t="s">
        <v>10</v>
      </c>
    </row>
    <row r="12" spans="1:4" x14ac:dyDescent="0.2">
      <c r="A12" s="2">
        <v>46023</v>
      </c>
      <c r="B12" t="s">
        <v>3</v>
      </c>
      <c r="C12" s="1">
        <v>400</v>
      </c>
      <c r="D12" t="s">
        <v>11</v>
      </c>
    </row>
    <row r="13" spans="1:4" x14ac:dyDescent="0.2">
      <c r="A13" s="2">
        <v>46023</v>
      </c>
      <c r="B13" t="s">
        <v>2</v>
      </c>
      <c r="C13" s="1">
        <v>1000</v>
      </c>
      <c r="D13" t="s">
        <v>12</v>
      </c>
    </row>
    <row r="14" spans="1:4" x14ac:dyDescent="0.2">
      <c r="A14" s="2">
        <v>46023</v>
      </c>
      <c r="B14" t="s">
        <v>2</v>
      </c>
      <c r="C14" s="1">
        <v>200</v>
      </c>
      <c r="D14" t="s">
        <v>13</v>
      </c>
    </row>
    <row r="15" spans="1:4" x14ac:dyDescent="0.2">
      <c r="A15" s="2">
        <v>46023</v>
      </c>
      <c r="B15" t="s">
        <v>2</v>
      </c>
      <c r="C15" s="1">
        <v>1500</v>
      </c>
      <c r="D15" t="s">
        <v>14</v>
      </c>
    </row>
    <row r="16" spans="1:4" x14ac:dyDescent="0.2">
      <c r="A16" s="2">
        <v>46023</v>
      </c>
      <c r="B16" t="s">
        <v>4</v>
      </c>
      <c r="C16" s="1">
        <v>1200</v>
      </c>
      <c r="D16" t="s">
        <v>15</v>
      </c>
    </row>
    <row r="17" spans="1:4" x14ac:dyDescent="0.2">
      <c r="A17" s="2"/>
    </row>
    <row r="18" spans="1:4" x14ac:dyDescent="0.2">
      <c r="A18" s="2">
        <v>46024</v>
      </c>
      <c r="B18" t="s">
        <v>2</v>
      </c>
      <c r="C18" s="1">
        <v>300</v>
      </c>
      <c r="D18" t="s">
        <v>10</v>
      </c>
    </row>
    <row r="19" spans="1:4" x14ac:dyDescent="0.2">
      <c r="A19" s="2">
        <v>46024</v>
      </c>
      <c r="B19" t="s">
        <v>3</v>
      </c>
      <c r="C19" s="1">
        <v>400</v>
      </c>
      <c r="D19" t="s">
        <v>11</v>
      </c>
    </row>
    <row r="20" spans="1:4" x14ac:dyDescent="0.2">
      <c r="A20" s="2">
        <v>46024</v>
      </c>
      <c r="B20" t="s">
        <v>2</v>
      </c>
      <c r="C20" s="1">
        <v>900</v>
      </c>
      <c r="D20" t="s">
        <v>12</v>
      </c>
    </row>
    <row r="21" spans="1:4" x14ac:dyDescent="0.2">
      <c r="A21" s="2">
        <v>46024</v>
      </c>
      <c r="B21" t="s">
        <v>2</v>
      </c>
      <c r="C21" s="1">
        <v>250</v>
      </c>
      <c r="D21" t="s">
        <v>13</v>
      </c>
    </row>
    <row r="22" spans="1:4" x14ac:dyDescent="0.2">
      <c r="A22" s="2">
        <v>46024</v>
      </c>
      <c r="B22" t="s">
        <v>2</v>
      </c>
      <c r="C22" s="1">
        <v>1400</v>
      </c>
      <c r="D22" t="s">
        <v>14</v>
      </c>
    </row>
    <row r="23" spans="1:4" x14ac:dyDescent="0.2">
      <c r="A23" s="2"/>
    </row>
    <row r="24" spans="1:4" x14ac:dyDescent="0.2">
      <c r="A24" s="2">
        <v>46025</v>
      </c>
      <c r="B24" t="s">
        <v>2</v>
      </c>
      <c r="C24" s="1">
        <v>250</v>
      </c>
      <c r="D24" t="s">
        <v>10</v>
      </c>
    </row>
    <row r="25" spans="1:4" x14ac:dyDescent="0.2">
      <c r="A25" s="2">
        <v>46025</v>
      </c>
      <c r="B25" t="s">
        <v>3</v>
      </c>
      <c r="C25" s="1">
        <v>500</v>
      </c>
      <c r="D25" t="s">
        <v>11</v>
      </c>
    </row>
    <row r="26" spans="1:4" x14ac:dyDescent="0.2">
      <c r="A26" s="2">
        <v>46025</v>
      </c>
      <c r="B26" t="s">
        <v>2</v>
      </c>
      <c r="C26" s="1">
        <v>1100</v>
      </c>
      <c r="D26" t="s">
        <v>12</v>
      </c>
    </row>
    <row r="27" spans="1:4" x14ac:dyDescent="0.2">
      <c r="A27" s="2">
        <v>46025</v>
      </c>
      <c r="B27" t="s">
        <v>2</v>
      </c>
      <c r="C27" s="1">
        <v>200</v>
      </c>
      <c r="D27" t="s">
        <v>13</v>
      </c>
    </row>
    <row r="28" spans="1:4" x14ac:dyDescent="0.2">
      <c r="A28" s="2">
        <v>46025</v>
      </c>
      <c r="B28" t="s">
        <v>2</v>
      </c>
      <c r="C28" s="1">
        <v>1600</v>
      </c>
      <c r="D28" t="s">
        <v>14</v>
      </c>
    </row>
    <row r="29" spans="1:4" x14ac:dyDescent="0.2">
      <c r="A29" s="2">
        <v>46025</v>
      </c>
      <c r="B29" t="s">
        <v>6</v>
      </c>
      <c r="C29" s="1">
        <v>600</v>
      </c>
      <c r="D29" t="s">
        <v>16</v>
      </c>
    </row>
    <row r="30" spans="1:4" x14ac:dyDescent="0.2">
      <c r="A30" s="2"/>
    </row>
    <row r="31" spans="1:4" x14ac:dyDescent="0.2">
      <c r="A31" s="2">
        <v>46026</v>
      </c>
      <c r="B31" t="s">
        <v>2</v>
      </c>
      <c r="C31" s="1">
        <v>200</v>
      </c>
      <c r="D31" t="s">
        <v>10</v>
      </c>
    </row>
    <row r="32" spans="1:4" x14ac:dyDescent="0.2">
      <c r="A32" s="2">
        <v>46026</v>
      </c>
      <c r="B32" t="s">
        <v>3</v>
      </c>
      <c r="C32" s="1">
        <v>400</v>
      </c>
      <c r="D32" t="s">
        <v>11</v>
      </c>
    </row>
    <row r="33" spans="1:4" x14ac:dyDescent="0.2">
      <c r="A33" s="2">
        <v>46026</v>
      </c>
      <c r="B33" t="s">
        <v>2</v>
      </c>
      <c r="C33" s="1">
        <v>950</v>
      </c>
      <c r="D33" t="s">
        <v>12</v>
      </c>
    </row>
    <row r="34" spans="1:4" x14ac:dyDescent="0.2">
      <c r="A34" s="2">
        <v>46026</v>
      </c>
      <c r="B34" t="s">
        <v>2</v>
      </c>
      <c r="C34" s="1">
        <v>180</v>
      </c>
      <c r="D34" t="s">
        <v>13</v>
      </c>
    </row>
    <row r="35" spans="1:4" x14ac:dyDescent="0.2">
      <c r="A35" s="2">
        <v>46026</v>
      </c>
      <c r="B35" t="s">
        <v>2</v>
      </c>
      <c r="C35" s="1">
        <v>1300</v>
      </c>
      <c r="D35" t="s">
        <v>14</v>
      </c>
    </row>
    <row r="36" spans="1:4" x14ac:dyDescent="0.2">
      <c r="A36" s="2"/>
    </row>
    <row r="37" spans="1:4" x14ac:dyDescent="0.2">
      <c r="A37" s="2">
        <v>46027</v>
      </c>
      <c r="B37" t="s">
        <v>2</v>
      </c>
      <c r="C37" s="1">
        <v>300</v>
      </c>
      <c r="D37" t="s">
        <v>10</v>
      </c>
    </row>
    <row r="38" spans="1:4" x14ac:dyDescent="0.2">
      <c r="A38" s="2">
        <v>46027</v>
      </c>
      <c r="B38" t="s">
        <v>3</v>
      </c>
      <c r="C38" s="1">
        <v>600</v>
      </c>
      <c r="D38" t="s">
        <v>11</v>
      </c>
    </row>
    <row r="39" spans="1:4" x14ac:dyDescent="0.2">
      <c r="A39" s="2">
        <v>46027</v>
      </c>
      <c r="B39" t="s">
        <v>2</v>
      </c>
      <c r="C39" s="1">
        <v>1200</v>
      </c>
      <c r="D39" t="s">
        <v>12</v>
      </c>
    </row>
    <row r="40" spans="1:4" x14ac:dyDescent="0.2">
      <c r="A40" s="2">
        <v>46027</v>
      </c>
      <c r="B40" t="s">
        <v>2</v>
      </c>
      <c r="C40" s="1">
        <v>250</v>
      </c>
      <c r="D40" t="s">
        <v>13</v>
      </c>
    </row>
    <row r="41" spans="1:4" x14ac:dyDescent="0.2">
      <c r="A41" s="2">
        <v>46027</v>
      </c>
      <c r="B41" t="s">
        <v>2</v>
      </c>
      <c r="C41" s="1">
        <v>1700</v>
      </c>
      <c r="D41" t="s">
        <v>14</v>
      </c>
    </row>
    <row r="42" spans="1:4" x14ac:dyDescent="0.2">
      <c r="A42" s="2">
        <v>46027</v>
      </c>
      <c r="B42" t="s">
        <v>5</v>
      </c>
      <c r="C42" s="1">
        <v>4500</v>
      </c>
      <c r="D42" t="s">
        <v>17</v>
      </c>
    </row>
    <row r="43" spans="1:4" x14ac:dyDescent="0.2">
      <c r="A43" s="2"/>
    </row>
    <row r="44" spans="1:4" x14ac:dyDescent="0.2">
      <c r="A44" s="2">
        <v>46028</v>
      </c>
      <c r="B44" t="s">
        <v>2</v>
      </c>
      <c r="C44" s="1">
        <v>250</v>
      </c>
      <c r="D44" t="s">
        <v>10</v>
      </c>
    </row>
    <row r="45" spans="1:4" x14ac:dyDescent="0.2">
      <c r="A45" s="2">
        <v>46028</v>
      </c>
      <c r="B45" t="s">
        <v>3</v>
      </c>
      <c r="C45" s="1">
        <v>400</v>
      </c>
      <c r="D45" t="s">
        <v>11</v>
      </c>
    </row>
    <row r="46" spans="1:4" x14ac:dyDescent="0.2">
      <c r="A46" s="2">
        <v>46028</v>
      </c>
      <c r="B46" t="s">
        <v>2</v>
      </c>
      <c r="C46" s="1">
        <v>1000</v>
      </c>
      <c r="D46" t="s">
        <v>12</v>
      </c>
    </row>
    <row r="47" spans="1:4" x14ac:dyDescent="0.2">
      <c r="A47" s="2">
        <v>46028</v>
      </c>
      <c r="B47" t="s">
        <v>2</v>
      </c>
      <c r="C47" s="1">
        <v>200</v>
      </c>
      <c r="D47" t="s">
        <v>13</v>
      </c>
    </row>
    <row r="48" spans="1:4" x14ac:dyDescent="0.2">
      <c r="A48" s="2">
        <v>46028</v>
      </c>
      <c r="B48" t="s">
        <v>2</v>
      </c>
      <c r="C48" s="1">
        <v>1500</v>
      </c>
      <c r="D48" t="s">
        <v>14</v>
      </c>
    </row>
    <row r="49" spans="1:4" x14ac:dyDescent="0.2">
      <c r="A49" s="2"/>
    </row>
    <row r="50" spans="1:4" x14ac:dyDescent="0.2">
      <c r="A50" s="2">
        <v>46029</v>
      </c>
      <c r="B50" t="s">
        <v>2</v>
      </c>
      <c r="C50" s="1">
        <v>300</v>
      </c>
      <c r="D50" t="s">
        <v>10</v>
      </c>
    </row>
    <row r="51" spans="1:4" x14ac:dyDescent="0.2">
      <c r="A51" s="2">
        <v>46029</v>
      </c>
      <c r="B51" t="s">
        <v>3</v>
      </c>
      <c r="C51" s="1">
        <v>400</v>
      </c>
      <c r="D51" t="s">
        <v>11</v>
      </c>
    </row>
    <row r="52" spans="1:4" x14ac:dyDescent="0.2">
      <c r="A52" s="2">
        <v>46029</v>
      </c>
      <c r="B52" t="s">
        <v>2</v>
      </c>
      <c r="C52" s="1">
        <v>900</v>
      </c>
      <c r="D52" t="s">
        <v>12</v>
      </c>
    </row>
    <row r="53" spans="1:4" x14ac:dyDescent="0.2">
      <c r="A53" s="2">
        <v>46029</v>
      </c>
      <c r="B53" t="s">
        <v>2</v>
      </c>
      <c r="C53" s="1">
        <v>180</v>
      </c>
      <c r="D53" t="s">
        <v>13</v>
      </c>
    </row>
    <row r="54" spans="1:4" x14ac:dyDescent="0.2">
      <c r="A54" s="2">
        <v>46029</v>
      </c>
      <c r="B54" t="s">
        <v>2</v>
      </c>
      <c r="C54" s="1">
        <v>1400</v>
      </c>
      <c r="D54" t="s">
        <v>14</v>
      </c>
    </row>
    <row r="55" spans="1:4" x14ac:dyDescent="0.2">
      <c r="A55" s="2">
        <v>46029</v>
      </c>
      <c r="B55" t="s">
        <v>4</v>
      </c>
      <c r="C55" s="1">
        <v>2000</v>
      </c>
      <c r="D55" t="s">
        <v>18</v>
      </c>
    </row>
    <row r="56" spans="1:4" x14ac:dyDescent="0.2">
      <c r="A56" s="2"/>
    </row>
    <row r="57" spans="1:4" x14ac:dyDescent="0.2">
      <c r="A57" s="2">
        <v>46030</v>
      </c>
      <c r="B57" t="s">
        <v>2</v>
      </c>
      <c r="C57" s="1">
        <v>250</v>
      </c>
      <c r="D57" t="s">
        <v>10</v>
      </c>
    </row>
    <row r="58" spans="1:4" x14ac:dyDescent="0.2">
      <c r="A58" s="2">
        <v>46030</v>
      </c>
      <c r="B58" t="s">
        <v>3</v>
      </c>
      <c r="C58" s="1">
        <v>500</v>
      </c>
      <c r="D58" t="s">
        <v>11</v>
      </c>
    </row>
    <row r="59" spans="1:4" x14ac:dyDescent="0.2">
      <c r="A59" s="2">
        <v>46030</v>
      </c>
      <c r="B59" t="s">
        <v>2</v>
      </c>
      <c r="C59" s="1">
        <v>1100</v>
      </c>
      <c r="D59" t="s">
        <v>12</v>
      </c>
    </row>
    <row r="60" spans="1:4" x14ac:dyDescent="0.2">
      <c r="A60" s="2">
        <v>46030</v>
      </c>
      <c r="B60" t="s">
        <v>2</v>
      </c>
      <c r="C60" s="1">
        <v>220</v>
      </c>
      <c r="D60" t="s">
        <v>13</v>
      </c>
    </row>
    <row r="61" spans="1:4" x14ac:dyDescent="0.2">
      <c r="A61" s="2">
        <v>46030</v>
      </c>
      <c r="B61" t="s">
        <v>2</v>
      </c>
      <c r="C61" s="1">
        <v>1600</v>
      </c>
      <c r="D61" t="s">
        <v>14</v>
      </c>
    </row>
    <row r="62" spans="1:4" x14ac:dyDescent="0.2">
      <c r="A62" s="2"/>
    </row>
    <row r="63" spans="1:4" x14ac:dyDescent="0.2">
      <c r="A63" s="2">
        <v>46031</v>
      </c>
      <c r="B63" t="s">
        <v>2</v>
      </c>
      <c r="C63" s="1">
        <v>200</v>
      </c>
      <c r="D63" t="s">
        <v>10</v>
      </c>
    </row>
    <row r="64" spans="1:4" x14ac:dyDescent="0.2">
      <c r="A64" s="2">
        <v>46031</v>
      </c>
      <c r="B64" t="s">
        <v>3</v>
      </c>
      <c r="C64" s="1">
        <v>400</v>
      </c>
      <c r="D64" t="s">
        <v>11</v>
      </c>
    </row>
    <row r="65" spans="1:4" x14ac:dyDescent="0.2">
      <c r="A65" s="2">
        <v>46031</v>
      </c>
      <c r="B65" t="s">
        <v>2</v>
      </c>
      <c r="C65" s="1">
        <v>950</v>
      </c>
      <c r="D65" t="s">
        <v>12</v>
      </c>
    </row>
    <row r="66" spans="1:4" x14ac:dyDescent="0.2">
      <c r="A66" s="2">
        <v>46031</v>
      </c>
      <c r="B66" t="s">
        <v>2</v>
      </c>
      <c r="C66" s="1">
        <v>200</v>
      </c>
      <c r="D66" t="s">
        <v>13</v>
      </c>
    </row>
    <row r="67" spans="1:4" x14ac:dyDescent="0.2">
      <c r="A67" s="2">
        <v>46031</v>
      </c>
      <c r="B67" t="s">
        <v>2</v>
      </c>
      <c r="C67" s="1">
        <v>1300</v>
      </c>
      <c r="D67" t="s">
        <v>14</v>
      </c>
    </row>
    <row r="68" spans="1:4" x14ac:dyDescent="0.2">
      <c r="A68" s="2">
        <v>46031</v>
      </c>
      <c r="B68" t="s">
        <v>6</v>
      </c>
      <c r="C68" s="1">
        <v>700</v>
      </c>
      <c r="D68" t="s">
        <v>19</v>
      </c>
    </row>
    <row r="69" spans="1:4" x14ac:dyDescent="0.2">
      <c r="A69" s="2"/>
    </row>
    <row r="70" spans="1:4" x14ac:dyDescent="0.2">
      <c r="A70" s="2">
        <v>46032</v>
      </c>
      <c r="B70" t="s">
        <v>2</v>
      </c>
      <c r="C70" s="1">
        <v>300</v>
      </c>
      <c r="D70" t="s">
        <v>10</v>
      </c>
    </row>
    <row r="71" spans="1:4" x14ac:dyDescent="0.2">
      <c r="A71" s="2">
        <v>46032</v>
      </c>
      <c r="B71" t="s">
        <v>3</v>
      </c>
      <c r="C71" s="1">
        <v>600</v>
      </c>
      <c r="D71" t="s">
        <v>11</v>
      </c>
    </row>
    <row r="72" spans="1:4" x14ac:dyDescent="0.2">
      <c r="A72" s="2">
        <v>46032</v>
      </c>
      <c r="B72" t="s">
        <v>2</v>
      </c>
      <c r="C72" s="1">
        <v>1200</v>
      </c>
      <c r="D72" t="s">
        <v>12</v>
      </c>
    </row>
    <row r="73" spans="1:4" x14ac:dyDescent="0.2">
      <c r="A73" s="2">
        <v>46032</v>
      </c>
      <c r="B73" t="s">
        <v>2</v>
      </c>
      <c r="C73" s="1">
        <v>300</v>
      </c>
      <c r="D73" t="s">
        <v>13</v>
      </c>
    </row>
    <row r="74" spans="1:4" x14ac:dyDescent="0.2">
      <c r="A74" s="2">
        <v>46032</v>
      </c>
      <c r="B74" t="s">
        <v>2</v>
      </c>
      <c r="C74" s="1">
        <v>1800</v>
      </c>
      <c r="D74" t="s">
        <v>14</v>
      </c>
    </row>
    <row r="75" spans="1:4" x14ac:dyDescent="0.2">
      <c r="A75" s="2">
        <v>46032</v>
      </c>
      <c r="B75" t="s">
        <v>4</v>
      </c>
      <c r="C75" s="1">
        <v>1800</v>
      </c>
      <c r="D75" t="s">
        <v>20</v>
      </c>
    </row>
    <row r="76" spans="1:4" x14ac:dyDescent="0.2">
      <c r="A76" s="2"/>
    </row>
    <row r="77" spans="1:4" x14ac:dyDescent="0.2">
      <c r="A77" s="2">
        <v>46033</v>
      </c>
      <c r="B77" t="s">
        <v>2</v>
      </c>
      <c r="C77" s="1">
        <v>250</v>
      </c>
      <c r="D77" t="s">
        <v>10</v>
      </c>
    </row>
    <row r="78" spans="1:4" x14ac:dyDescent="0.2">
      <c r="A78" s="2">
        <v>46033</v>
      </c>
      <c r="B78" t="s">
        <v>3</v>
      </c>
      <c r="C78" s="1">
        <v>400</v>
      </c>
      <c r="D78" t="s">
        <v>11</v>
      </c>
    </row>
    <row r="79" spans="1:4" x14ac:dyDescent="0.2">
      <c r="A79" s="2">
        <v>46033</v>
      </c>
      <c r="B79" t="s">
        <v>2</v>
      </c>
      <c r="C79" s="1">
        <v>1000</v>
      </c>
      <c r="D79" t="s">
        <v>12</v>
      </c>
    </row>
    <row r="80" spans="1:4" x14ac:dyDescent="0.2">
      <c r="A80" s="2">
        <v>46033</v>
      </c>
      <c r="B80" t="s">
        <v>2</v>
      </c>
      <c r="C80" s="1">
        <v>200</v>
      </c>
      <c r="D80" t="s">
        <v>13</v>
      </c>
    </row>
    <row r="81" spans="1:4" x14ac:dyDescent="0.2">
      <c r="A81" s="2">
        <v>46033</v>
      </c>
      <c r="B81" t="s">
        <v>2</v>
      </c>
      <c r="C81" s="1">
        <v>1500</v>
      </c>
      <c r="D81" t="s">
        <v>14</v>
      </c>
    </row>
    <row r="82" spans="1:4" x14ac:dyDescent="0.2">
      <c r="A82" s="2"/>
    </row>
    <row r="83" spans="1:4" x14ac:dyDescent="0.2">
      <c r="A83" s="2">
        <v>46034</v>
      </c>
      <c r="B83" t="s">
        <v>2</v>
      </c>
      <c r="C83" s="1">
        <v>300</v>
      </c>
      <c r="D83" t="s">
        <v>10</v>
      </c>
    </row>
    <row r="84" spans="1:4" x14ac:dyDescent="0.2">
      <c r="A84" s="2">
        <v>46034</v>
      </c>
      <c r="B84" t="s">
        <v>3</v>
      </c>
      <c r="C84" s="1">
        <v>400</v>
      </c>
      <c r="D84" t="s">
        <v>11</v>
      </c>
    </row>
    <row r="85" spans="1:4" x14ac:dyDescent="0.2">
      <c r="A85" s="2">
        <v>46034</v>
      </c>
      <c r="B85" t="s">
        <v>2</v>
      </c>
      <c r="C85" s="1">
        <v>1100</v>
      </c>
      <c r="D85" t="s">
        <v>12</v>
      </c>
    </row>
    <row r="86" spans="1:4" x14ac:dyDescent="0.2">
      <c r="A86" s="2">
        <v>46034</v>
      </c>
      <c r="B86" t="s">
        <v>2</v>
      </c>
      <c r="C86" s="1">
        <v>250</v>
      </c>
      <c r="D86" t="s">
        <v>13</v>
      </c>
    </row>
    <row r="87" spans="1:4" x14ac:dyDescent="0.2">
      <c r="A87" s="2">
        <v>46034</v>
      </c>
      <c r="B87" t="s">
        <v>2</v>
      </c>
      <c r="C87" s="1">
        <v>1600</v>
      </c>
      <c r="D87" t="s">
        <v>14</v>
      </c>
    </row>
    <row r="88" spans="1:4" x14ac:dyDescent="0.2">
      <c r="A88" s="2">
        <v>46034</v>
      </c>
      <c r="B88" t="s">
        <v>5</v>
      </c>
      <c r="C88" s="1">
        <v>3200</v>
      </c>
      <c r="D88" t="s">
        <v>21</v>
      </c>
    </row>
    <row r="89" spans="1:4" x14ac:dyDescent="0.2">
      <c r="A89" s="2"/>
    </row>
    <row r="90" spans="1:4" x14ac:dyDescent="0.2">
      <c r="A90" s="2">
        <v>46035</v>
      </c>
      <c r="B90" t="s">
        <v>2</v>
      </c>
      <c r="C90" s="1">
        <v>250</v>
      </c>
      <c r="D90" t="s">
        <v>10</v>
      </c>
    </row>
    <row r="91" spans="1:4" x14ac:dyDescent="0.2">
      <c r="A91" s="2">
        <v>46035</v>
      </c>
      <c r="B91" t="s">
        <v>3</v>
      </c>
      <c r="C91" s="1">
        <v>500</v>
      </c>
      <c r="D91" t="s">
        <v>11</v>
      </c>
    </row>
    <row r="92" spans="1:4" x14ac:dyDescent="0.2">
      <c r="A92" s="2">
        <v>46035</v>
      </c>
      <c r="B92" t="s">
        <v>2</v>
      </c>
      <c r="C92" s="1">
        <v>1000</v>
      </c>
      <c r="D92" t="s">
        <v>12</v>
      </c>
    </row>
    <row r="93" spans="1:4" x14ac:dyDescent="0.2">
      <c r="A93" s="2">
        <v>46035</v>
      </c>
      <c r="B93" t="s">
        <v>2</v>
      </c>
      <c r="C93" s="1">
        <v>200</v>
      </c>
      <c r="D93" t="s">
        <v>13</v>
      </c>
    </row>
    <row r="94" spans="1:4" x14ac:dyDescent="0.2">
      <c r="A94" s="2">
        <v>46035</v>
      </c>
      <c r="B94" t="s">
        <v>2</v>
      </c>
      <c r="C94" s="1">
        <v>1500</v>
      </c>
      <c r="D94" t="s">
        <v>14</v>
      </c>
    </row>
    <row r="95" spans="1:4" x14ac:dyDescent="0.2">
      <c r="A95" s="2"/>
    </row>
    <row r="96" spans="1:4" x14ac:dyDescent="0.2">
      <c r="A96" s="2">
        <v>46036</v>
      </c>
      <c r="B96" t="s">
        <v>2</v>
      </c>
      <c r="C96" s="1">
        <v>200</v>
      </c>
      <c r="D96" t="s">
        <v>10</v>
      </c>
    </row>
    <row r="97" spans="1:4" x14ac:dyDescent="0.2">
      <c r="A97" s="2">
        <v>46036</v>
      </c>
      <c r="B97" t="s">
        <v>3</v>
      </c>
      <c r="C97" s="1">
        <v>400</v>
      </c>
      <c r="D97" t="s">
        <v>11</v>
      </c>
    </row>
    <row r="98" spans="1:4" x14ac:dyDescent="0.2">
      <c r="A98" s="2">
        <v>46036</v>
      </c>
      <c r="B98" t="s">
        <v>2</v>
      </c>
      <c r="C98" s="1">
        <v>950</v>
      </c>
      <c r="D98" t="s">
        <v>12</v>
      </c>
    </row>
    <row r="99" spans="1:4" x14ac:dyDescent="0.2">
      <c r="A99" s="2">
        <v>46036</v>
      </c>
      <c r="B99" t="s">
        <v>2</v>
      </c>
      <c r="C99" s="1">
        <v>180</v>
      </c>
      <c r="D99" t="s">
        <v>13</v>
      </c>
    </row>
    <row r="100" spans="1:4" x14ac:dyDescent="0.2">
      <c r="A100" s="2">
        <v>46036</v>
      </c>
      <c r="B100" t="s">
        <v>2</v>
      </c>
      <c r="C100" s="1">
        <v>1300</v>
      </c>
      <c r="D100" t="s">
        <v>14</v>
      </c>
    </row>
    <row r="101" spans="1:4" x14ac:dyDescent="0.2">
      <c r="A101" s="2">
        <v>46036</v>
      </c>
      <c r="B101" t="s">
        <v>6</v>
      </c>
      <c r="C101" s="1">
        <v>900</v>
      </c>
      <c r="D101" t="s">
        <v>22</v>
      </c>
    </row>
    <row r="102" spans="1:4" x14ac:dyDescent="0.2">
      <c r="A102" s="2"/>
    </row>
    <row r="103" spans="1:4" x14ac:dyDescent="0.2">
      <c r="A103" s="2">
        <v>46037</v>
      </c>
      <c r="B103" t="s">
        <v>2</v>
      </c>
      <c r="C103" s="1">
        <v>300</v>
      </c>
      <c r="D103" t="s">
        <v>10</v>
      </c>
    </row>
    <row r="104" spans="1:4" x14ac:dyDescent="0.2">
      <c r="A104" s="2">
        <v>46037</v>
      </c>
      <c r="B104" t="s">
        <v>3</v>
      </c>
      <c r="C104" s="1">
        <v>600</v>
      </c>
      <c r="D104" t="s">
        <v>11</v>
      </c>
    </row>
    <row r="105" spans="1:4" x14ac:dyDescent="0.2">
      <c r="A105" s="2">
        <v>46037</v>
      </c>
      <c r="B105" t="s">
        <v>2</v>
      </c>
      <c r="C105" s="1">
        <v>1200</v>
      </c>
      <c r="D105" t="s">
        <v>12</v>
      </c>
    </row>
    <row r="106" spans="1:4" x14ac:dyDescent="0.2">
      <c r="A106" s="2">
        <v>46037</v>
      </c>
      <c r="B106" t="s">
        <v>2</v>
      </c>
      <c r="C106" s="1">
        <v>250</v>
      </c>
      <c r="D106" t="s">
        <v>13</v>
      </c>
    </row>
    <row r="107" spans="1:4" x14ac:dyDescent="0.2">
      <c r="A107" s="2">
        <v>46037</v>
      </c>
      <c r="B107" t="s">
        <v>2</v>
      </c>
      <c r="C107" s="1">
        <v>1700</v>
      </c>
      <c r="D107" t="s">
        <v>14</v>
      </c>
    </row>
    <row r="108" spans="1:4" x14ac:dyDescent="0.2">
      <c r="A108" s="2">
        <v>46037</v>
      </c>
      <c r="B108" t="s">
        <v>4</v>
      </c>
      <c r="C108" s="1">
        <v>2500</v>
      </c>
      <c r="D108" t="s">
        <v>23</v>
      </c>
    </row>
    <row r="109" spans="1:4" x14ac:dyDescent="0.2">
      <c r="A109" s="2"/>
    </row>
    <row r="110" spans="1:4" x14ac:dyDescent="0.2">
      <c r="A110" s="2">
        <v>46038</v>
      </c>
      <c r="B110" t="s">
        <v>2</v>
      </c>
      <c r="C110" s="1">
        <v>250</v>
      </c>
      <c r="D110" t="s">
        <v>10</v>
      </c>
    </row>
    <row r="111" spans="1:4" x14ac:dyDescent="0.2">
      <c r="A111" s="2">
        <v>46038</v>
      </c>
      <c r="B111" t="s">
        <v>3</v>
      </c>
      <c r="C111" s="1">
        <v>400</v>
      </c>
      <c r="D111" t="s">
        <v>11</v>
      </c>
    </row>
    <row r="112" spans="1:4" x14ac:dyDescent="0.2">
      <c r="A112" s="2">
        <v>46038</v>
      </c>
      <c r="B112" t="s">
        <v>2</v>
      </c>
      <c r="C112" s="1">
        <v>1000</v>
      </c>
      <c r="D112" t="s">
        <v>12</v>
      </c>
    </row>
    <row r="113" spans="1:4" x14ac:dyDescent="0.2">
      <c r="A113" s="2">
        <v>46038</v>
      </c>
      <c r="B113" t="s">
        <v>2</v>
      </c>
      <c r="C113" s="1">
        <v>200</v>
      </c>
      <c r="D113" t="s">
        <v>13</v>
      </c>
    </row>
    <row r="114" spans="1:4" x14ac:dyDescent="0.2">
      <c r="A114" s="2">
        <v>46038</v>
      </c>
      <c r="B114" t="s">
        <v>2</v>
      </c>
      <c r="C114" s="1">
        <v>1500</v>
      </c>
      <c r="D114" t="s">
        <v>14</v>
      </c>
    </row>
    <row r="115" spans="1:4" x14ac:dyDescent="0.2">
      <c r="A115" s="2"/>
    </row>
    <row r="116" spans="1:4" x14ac:dyDescent="0.2">
      <c r="A116" s="2">
        <v>46039</v>
      </c>
      <c r="B116" t="s">
        <v>2</v>
      </c>
      <c r="C116" s="1">
        <v>300</v>
      </c>
      <c r="D116" t="s">
        <v>10</v>
      </c>
    </row>
    <row r="117" spans="1:4" x14ac:dyDescent="0.2">
      <c r="A117" s="2">
        <v>46039</v>
      </c>
      <c r="B117" t="s">
        <v>3</v>
      </c>
      <c r="C117" s="1">
        <v>500</v>
      </c>
      <c r="D117" t="s">
        <v>11</v>
      </c>
    </row>
    <row r="118" spans="1:4" x14ac:dyDescent="0.2">
      <c r="A118" s="2">
        <v>46039</v>
      </c>
      <c r="B118" t="s">
        <v>2</v>
      </c>
      <c r="C118" s="1">
        <v>1100</v>
      </c>
      <c r="D118" t="s">
        <v>12</v>
      </c>
    </row>
    <row r="119" spans="1:4" x14ac:dyDescent="0.2">
      <c r="A119" s="2">
        <v>46039</v>
      </c>
      <c r="B119" t="s">
        <v>2</v>
      </c>
      <c r="C119" s="1">
        <v>250</v>
      </c>
      <c r="D119" t="s">
        <v>13</v>
      </c>
    </row>
    <row r="120" spans="1:4" x14ac:dyDescent="0.2">
      <c r="A120" s="2">
        <v>46039</v>
      </c>
      <c r="B120" t="s">
        <v>2</v>
      </c>
      <c r="C120" s="1">
        <v>1600</v>
      </c>
      <c r="D120" t="s">
        <v>14</v>
      </c>
    </row>
    <row r="121" spans="1:4" x14ac:dyDescent="0.2">
      <c r="A121" s="2"/>
    </row>
    <row r="122" spans="1:4" x14ac:dyDescent="0.2">
      <c r="A122" s="2">
        <v>46040</v>
      </c>
      <c r="B122" t="s">
        <v>2</v>
      </c>
      <c r="C122" s="1">
        <v>200</v>
      </c>
      <c r="D122" t="s">
        <v>10</v>
      </c>
    </row>
    <row r="123" spans="1:4" x14ac:dyDescent="0.2">
      <c r="A123" s="2">
        <v>46040</v>
      </c>
      <c r="B123" t="s">
        <v>3</v>
      </c>
      <c r="C123" s="1">
        <v>400</v>
      </c>
      <c r="D123" t="s">
        <v>11</v>
      </c>
    </row>
    <row r="124" spans="1:4" x14ac:dyDescent="0.2">
      <c r="A124" s="2">
        <v>46040</v>
      </c>
      <c r="B124" t="s">
        <v>2</v>
      </c>
      <c r="C124" s="1">
        <v>950</v>
      </c>
      <c r="D124" t="s">
        <v>12</v>
      </c>
    </row>
    <row r="125" spans="1:4" x14ac:dyDescent="0.2">
      <c r="A125" s="2">
        <v>46040</v>
      </c>
      <c r="B125" t="s">
        <v>2</v>
      </c>
      <c r="C125" s="1">
        <v>200</v>
      </c>
      <c r="D125" t="s">
        <v>13</v>
      </c>
    </row>
    <row r="126" spans="1:4" x14ac:dyDescent="0.2">
      <c r="A126" s="2">
        <v>46040</v>
      </c>
      <c r="B126" t="s">
        <v>2</v>
      </c>
      <c r="C126" s="1">
        <v>1300</v>
      </c>
      <c r="D126" t="s">
        <v>14</v>
      </c>
    </row>
    <row r="127" spans="1:4" x14ac:dyDescent="0.2">
      <c r="A127" s="2">
        <v>46040</v>
      </c>
      <c r="B127" t="s">
        <v>5</v>
      </c>
      <c r="C127" s="1">
        <v>2800</v>
      </c>
      <c r="D127" t="s">
        <v>24</v>
      </c>
    </row>
    <row r="128" spans="1:4" x14ac:dyDescent="0.2">
      <c r="A128" s="2"/>
    </row>
    <row r="129" spans="1:4" x14ac:dyDescent="0.2">
      <c r="A129" s="2">
        <v>46041</v>
      </c>
      <c r="B129" t="s">
        <v>2</v>
      </c>
      <c r="C129" s="1">
        <v>300</v>
      </c>
      <c r="D129" t="s">
        <v>10</v>
      </c>
    </row>
    <row r="130" spans="1:4" x14ac:dyDescent="0.2">
      <c r="A130" s="2">
        <v>46041</v>
      </c>
      <c r="B130" t="s">
        <v>3</v>
      </c>
      <c r="C130" s="1">
        <v>600</v>
      </c>
      <c r="D130" t="s">
        <v>11</v>
      </c>
    </row>
    <row r="131" spans="1:4" x14ac:dyDescent="0.2">
      <c r="A131" s="2">
        <v>46041</v>
      </c>
      <c r="B131" t="s">
        <v>2</v>
      </c>
      <c r="C131" s="1">
        <v>1200</v>
      </c>
      <c r="D131" t="s">
        <v>12</v>
      </c>
    </row>
    <row r="132" spans="1:4" x14ac:dyDescent="0.2">
      <c r="A132" s="2">
        <v>46041</v>
      </c>
      <c r="B132" t="s">
        <v>2</v>
      </c>
      <c r="C132" s="1">
        <v>300</v>
      </c>
      <c r="D132" t="s">
        <v>13</v>
      </c>
    </row>
    <row r="133" spans="1:4" x14ac:dyDescent="0.2">
      <c r="A133" s="2">
        <v>46041</v>
      </c>
      <c r="B133" t="s">
        <v>2</v>
      </c>
      <c r="C133" s="1">
        <v>1800</v>
      </c>
      <c r="D133" t="s">
        <v>14</v>
      </c>
    </row>
    <row r="134" spans="1:4" x14ac:dyDescent="0.2">
      <c r="A134" s="2"/>
    </row>
    <row r="135" spans="1:4" x14ac:dyDescent="0.2">
      <c r="A135" s="2">
        <v>46042</v>
      </c>
      <c r="B135" t="s">
        <v>2</v>
      </c>
      <c r="C135" s="1">
        <v>250</v>
      </c>
      <c r="D135" t="s">
        <v>10</v>
      </c>
    </row>
    <row r="136" spans="1:4" x14ac:dyDescent="0.2">
      <c r="A136" s="2">
        <v>46042</v>
      </c>
      <c r="B136" t="s">
        <v>3</v>
      </c>
      <c r="C136" s="1">
        <v>400</v>
      </c>
      <c r="D136" t="s">
        <v>11</v>
      </c>
    </row>
    <row r="137" spans="1:4" x14ac:dyDescent="0.2">
      <c r="A137" s="2">
        <v>46042</v>
      </c>
      <c r="B137" t="s">
        <v>2</v>
      </c>
      <c r="C137" s="1">
        <v>1000</v>
      </c>
      <c r="D137" t="s">
        <v>12</v>
      </c>
    </row>
    <row r="138" spans="1:4" x14ac:dyDescent="0.2">
      <c r="A138" s="2">
        <v>46042</v>
      </c>
      <c r="B138" t="s">
        <v>2</v>
      </c>
      <c r="C138" s="1">
        <v>200</v>
      </c>
      <c r="D138" t="s">
        <v>13</v>
      </c>
    </row>
    <row r="139" spans="1:4" x14ac:dyDescent="0.2">
      <c r="A139" s="2">
        <v>46042</v>
      </c>
      <c r="B139" t="s">
        <v>2</v>
      </c>
      <c r="C139" s="1">
        <v>1500</v>
      </c>
      <c r="D139" t="s">
        <v>14</v>
      </c>
    </row>
    <row r="140" spans="1:4" x14ac:dyDescent="0.2">
      <c r="A140" s="2">
        <v>46042</v>
      </c>
      <c r="B140" t="s">
        <v>6</v>
      </c>
      <c r="C140" s="1">
        <v>1200</v>
      </c>
      <c r="D140" t="s">
        <v>25</v>
      </c>
    </row>
    <row r="141" spans="1:4" x14ac:dyDescent="0.2">
      <c r="A141" s="2"/>
    </row>
    <row r="142" spans="1:4" x14ac:dyDescent="0.2">
      <c r="A142" s="2">
        <v>46043</v>
      </c>
      <c r="B142" t="s">
        <v>2</v>
      </c>
      <c r="C142" s="1">
        <v>300</v>
      </c>
      <c r="D142" t="s">
        <v>10</v>
      </c>
    </row>
    <row r="143" spans="1:4" x14ac:dyDescent="0.2">
      <c r="A143" s="2">
        <v>46043</v>
      </c>
      <c r="B143" t="s">
        <v>3</v>
      </c>
      <c r="C143" s="1">
        <v>400</v>
      </c>
      <c r="D143" t="s">
        <v>11</v>
      </c>
    </row>
    <row r="144" spans="1:4" x14ac:dyDescent="0.2">
      <c r="A144" s="2">
        <v>46043</v>
      </c>
      <c r="B144" t="s">
        <v>2</v>
      </c>
      <c r="C144" s="1">
        <v>1100</v>
      </c>
      <c r="D144" t="s">
        <v>12</v>
      </c>
    </row>
    <row r="145" spans="1:4" x14ac:dyDescent="0.2">
      <c r="A145" s="2">
        <v>46043</v>
      </c>
      <c r="B145" t="s">
        <v>2</v>
      </c>
      <c r="C145" s="1">
        <v>250</v>
      </c>
      <c r="D145" t="s">
        <v>13</v>
      </c>
    </row>
    <row r="146" spans="1:4" x14ac:dyDescent="0.2">
      <c r="A146" s="2">
        <v>46043</v>
      </c>
      <c r="B146" t="s">
        <v>2</v>
      </c>
      <c r="C146" s="1">
        <v>1600</v>
      </c>
      <c r="D146" t="s">
        <v>14</v>
      </c>
    </row>
    <row r="147" spans="1:4" x14ac:dyDescent="0.2">
      <c r="A147" s="2"/>
    </row>
    <row r="148" spans="1:4" x14ac:dyDescent="0.2">
      <c r="A148" s="2">
        <v>46044</v>
      </c>
      <c r="B148" t="s">
        <v>2</v>
      </c>
      <c r="C148" s="1">
        <v>250</v>
      </c>
      <c r="D148" t="s">
        <v>10</v>
      </c>
    </row>
    <row r="149" spans="1:4" x14ac:dyDescent="0.2">
      <c r="A149" s="2">
        <v>46044</v>
      </c>
      <c r="B149" t="s">
        <v>3</v>
      </c>
      <c r="C149" s="1">
        <v>500</v>
      </c>
      <c r="D149" t="s">
        <v>11</v>
      </c>
    </row>
    <row r="150" spans="1:4" x14ac:dyDescent="0.2">
      <c r="A150" s="2">
        <v>46044</v>
      </c>
      <c r="B150" t="s">
        <v>2</v>
      </c>
      <c r="C150" s="1">
        <v>1000</v>
      </c>
      <c r="D150" t="s">
        <v>12</v>
      </c>
    </row>
    <row r="151" spans="1:4" x14ac:dyDescent="0.2">
      <c r="A151" s="2">
        <v>46044</v>
      </c>
      <c r="B151" t="s">
        <v>2</v>
      </c>
      <c r="C151" s="1">
        <v>200</v>
      </c>
      <c r="D151" t="s">
        <v>13</v>
      </c>
    </row>
    <row r="152" spans="1:4" x14ac:dyDescent="0.2">
      <c r="A152" s="2">
        <v>46044</v>
      </c>
      <c r="B152" t="s">
        <v>2</v>
      </c>
      <c r="C152" s="1">
        <v>1500</v>
      </c>
      <c r="D152" t="s">
        <v>14</v>
      </c>
    </row>
    <row r="153" spans="1:4" x14ac:dyDescent="0.2">
      <c r="A153" s="2">
        <v>46044</v>
      </c>
      <c r="B153" t="s">
        <v>5</v>
      </c>
      <c r="C153" s="1">
        <v>1500</v>
      </c>
      <c r="D153" t="s">
        <v>26</v>
      </c>
    </row>
    <row r="154" spans="1:4" x14ac:dyDescent="0.2">
      <c r="A154" s="2"/>
    </row>
    <row r="155" spans="1:4" x14ac:dyDescent="0.2">
      <c r="A155" s="2">
        <v>46045</v>
      </c>
      <c r="B155" t="s">
        <v>2</v>
      </c>
      <c r="C155" s="1">
        <v>300</v>
      </c>
      <c r="D155" t="s">
        <v>10</v>
      </c>
    </row>
    <row r="156" spans="1:4" x14ac:dyDescent="0.2">
      <c r="A156" s="2">
        <v>46045</v>
      </c>
      <c r="B156" t="s">
        <v>3</v>
      </c>
      <c r="C156" s="1">
        <v>600</v>
      </c>
      <c r="D156" t="s">
        <v>11</v>
      </c>
    </row>
    <row r="157" spans="1:4" x14ac:dyDescent="0.2">
      <c r="A157" s="2">
        <v>46045</v>
      </c>
      <c r="B157" t="s">
        <v>2</v>
      </c>
      <c r="C157" s="1">
        <v>1200</v>
      </c>
      <c r="D157" t="s">
        <v>12</v>
      </c>
    </row>
    <row r="158" spans="1:4" x14ac:dyDescent="0.2">
      <c r="A158" s="2">
        <v>46045</v>
      </c>
      <c r="B158" t="s">
        <v>2</v>
      </c>
      <c r="C158" s="1">
        <v>300</v>
      </c>
      <c r="D158" t="s">
        <v>13</v>
      </c>
    </row>
    <row r="159" spans="1:4" x14ac:dyDescent="0.2">
      <c r="A159" s="2">
        <v>46045</v>
      </c>
      <c r="B159" t="s">
        <v>2</v>
      </c>
      <c r="C159" s="1">
        <v>1800</v>
      </c>
      <c r="D159" t="s">
        <v>14</v>
      </c>
    </row>
    <row r="160" spans="1:4" x14ac:dyDescent="0.2">
      <c r="A160" s="2">
        <v>46045</v>
      </c>
      <c r="B160" t="s">
        <v>4</v>
      </c>
      <c r="C160" s="1">
        <v>3000</v>
      </c>
      <c r="D160" t="s">
        <v>27</v>
      </c>
    </row>
    <row r="161" spans="1:4" x14ac:dyDescent="0.2">
      <c r="A161" s="2"/>
    </row>
    <row r="162" spans="1:4" x14ac:dyDescent="0.2">
      <c r="A162" s="2">
        <v>46046</v>
      </c>
      <c r="B162" t="s">
        <v>2</v>
      </c>
      <c r="C162" s="1">
        <v>250</v>
      </c>
      <c r="D162" t="s">
        <v>10</v>
      </c>
    </row>
    <row r="163" spans="1:4" x14ac:dyDescent="0.2">
      <c r="A163" s="2">
        <v>46046</v>
      </c>
      <c r="B163" t="s">
        <v>3</v>
      </c>
      <c r="C163" s="1">
        <v>400</v>
      </c>
      <c r="D163" t="s">
        <v>11</v>
      </c>
    </row>
    <row r="164" spans="1:4" x14ac:dyDescent="0.2">
      <c r="A164" s="2">
        <v>46046</v>
      </c>
      <c r="B164" t="s">
        <v>2</v>
      </c>
      <c r="C164" s="1">
        <v>1000</v>
      </c>
      <c r="D164" t="s">
        <v>12</v>
      </c>
    </row>
    <row r="165" spans="1:4" x14ac:dyDescent="0.2">
      <c r="A165" s="2">
        <v>46046</v>
      </c>
      <c r="B165" t="s">
        <v>2</v>
      </c>
      <c r="C165" s="1">
        <v>200</v>
      </c>
      <c r="D165" t="s">
        <v>13</v>
      </c>
    </row>
    <row r="166" spans="1:4" x14ac:dyDescent="0.2">
      <c r="A166" s="2">
        <v>46046</v>
      </c>
      <c r="B166" t="s">
        <v>2</v>
      </c>
      <c r="C166" s="1">
        <v>1500</v>
      </c>
      <c r="D166" t="s">
        <v>14</v>
      </c>
    </row>
    <row r="167" spans="1:4" x14ac:dyDescent="0.2">
      <c r="A167" s="2"/>
    </row>
    <row r="168" spans="1:4" x14ac:dyDescent="0.2">
      <c r="A168" s="2">
        <v>46047</v>
      </c>
      <c r="B168" t="s">
        <v>2</v>
      </c>
      <c r="C168" s="1">
        <v>300</v>
      </c>
      <c r="D168" t="s">
        <v>10</v>
      </c>
    </row>
    <row r="169" spans="1:4" x14ac:dyDescent="0.2">
      <c r="A169" s="2">
        <v>46047</v>
      </c>
      <c r="B169" t="s">
        <v>3</v>
      </c>
      <c r="C169" s="1">
        <v>500</v>
      </c>
      <c r="D169" t="s">
        <v>11</v>
      </c>
    </row>
    <row r="170" spans="1:4" x14ac:dyDescent="0.2">
      <c r="A170" s="2">
        <v>46047</v>
      </c>
      <c r="B170" t="s">
        <v>2</v>
      </c>
      <c r="C170" s="1">
        <v>1100</v>
      </c>
      <c r="D170" t="s">
        <v>12</v>
      </c>
    </row>
    <row r="171" spans="1:4" x14ac:dyDescent="0.2">
      <c r="A171" s="2">
        <v>46047</v>
      </c>
      <c r="B171" t="s">
        <v>2</v>
      </c>
      <c r="C171" s="1">
        <v>250</v>
      </c>
      <c r="D171" t="s">
        <v>13</v>
      </c>
    </row>
    <row r="172" spans="1:4" x14ac:dyDescent="0.2">
      <c r="A172" s="2">
        <v>46047</v>
      </c>
      <c r="B172" t="s">
        <v>2</v>
      </c>
      <c r="C172" s="1">
        <v>1600</v>
      </c>
      <c r="D172" t="s">
        <v>14</v>
      </c>
    </row>
    <row r="173" spans="1:4" x14ac:dyDescent="0.2">
      <c r="A173" s="2"/>
    </row>
    <row r="174" spans="1:4" x14ac:dyDescent="0.2">
      <c r="A174" s="2">
        <v>46048</v>
      </c>
      <c r="B174" t="s">
        <v>2</v>
      </c>
      <c r="C174" s="1">
        <v>200</v>
      </c>
      <c r="D174" t="s">
        <v>10</v>
      </c>
    </row>
    <row r="175" spans="1:4" x14ac:dyDescent="0.2">
      <c r="A175" s="2">
        <v>46048</v>
      </c>
      <c r="B175" t="s">
        <v>3</v>
      </c>
      <c r="C175" s="1">
        <v>400</v>
      </c>
      <c r="D175" t="s">
        <v>11</v>
      </c>
    </row>
    <row r="176" spans="1:4" x14ac:dyDescent="0.2">
      <c r="A176" s="2">
        <v>46048</v>
      </c>
      <c r="B176" t="s">
        <v>2</v>
      </c>
      <c r="C176" s="1">
        <v>950</v>
      </c>
      <c r="D176" t="s">
        <v>12</v>
      </c>
    </row>
    <row r="177" spans="1:4" x14ac:dyDescent="0.2">
      <c r="A177" s="2">
        <v>46048</v>
      </c>
      <c r="B177" t="s">
        <v>2</v>
      </c>
      <c r="C177" s="1">
        <v>200</v>
      </c>
      <c r="D177" t="s">
        <v>13</v>
      </c>
    </row>
    <row r="178" spans="1:4" x14ac:dyDescent="0.2">
      <c r="A178" s="2">
        <v>46048</v>
      </c>
      <c r="B178" t="s">
        <v>2</v>
      </c>
      <c r="C178" s="1">
        <v>1300</v>
      </c>
      <c r="D178" t="s">
        <v>14</v>
      </c>
    </row>
    <row r="179" spans="1:4" x14ac:dyDescent="0.2">
      <c r="A179" s="2">
        <v>46048</v>
      </c>
      <c r="B179" t="s">
        <v>6</v>
      </c>
      <c r="C179" s="1">
        <v>800</v>
      </c>
      <c r="D179" t="s">
        <v>28</v>
      </c>
    </row>
    <row r="180" spans="1:4" x14ac:dyDescent="0.2">
      <c r="A180" s="2"/>
    </row>
    <row r="181" spans="1:4" x14ac:dyDescent="0.2">
      <c r="A181" s="2">
        <v>46049</v>
      </c>
      <c r="B181" t="s">
        <v>2</v>
      </c>
      <c r="C181" s="1">
        <v>300</v>
      </c>
      <c r="D181" t="s">
        <v>10</v>
      </c>
    </row>
    <row r="182" spans="1:4" x14ac:dyDescent="0.2">
      <c r="A182" s="2">
        <v>46049</v>
      </c>
      <c r="B182" t="s">
        <v>3</v>
      </c>
      <c r="C182" s="1">
        <v>600</v>
      </c>
      <c r="D182" t="s">
        <v>11</v>
      </c>
    </row>
    <row r="183" spans="1:4" x14ac:dyDescent="0.2">
      <c r="A183" s="2">
        <v>46049</v>
      </c>
      <c r="B183" t="s">
        <v>2</v>
      </c>
      <c r="C183" s="1">
        <v>1200</v>
      </c>
      <c r="D183" t="s">
        <v>12</v>
      </c>
    </row>
    <row r="184" spans="1:4" x14ac:dyDescent="0.2">
      <c r="A184" s="2">
        <v>46049</v>
      </c>
      <c r="B184" t="s">
        <v>2</v>
      </c>
      <c r="C184" s="1">
        <v>300</v>
      </c>
      <c r="D184" t="s">
        <v>13</v>
      </c>
    </row>
    <row r="185" spans="1:4" x14ac:dyDescent="0.2">
      <c r="A185" s="2">
        <v>46049</v>
      </c>
      <c r="B185" t="s">
        <v>2</v>
      </c>
      <c r="C185" s="1">
        <v>1800</v>
      </c>
      <c r="D185" t="s">
        <v>14</v>
      </c>
    </row>
    <row r="186" spans="1:4" x14ac:dyDescent="0.2">
      <c r="A186" s="2"/>
    </row>
    <row r="187" spans="1:4" x14ac:dyDescent="0.2">
      <c r="A187" s="2">
        <v>46050</v>
      </c>
      <c r="B187" t="s">
        <v>2</v>
      </c>
      <c r="C187" s="1">
        <v>250</v>
      </c>
      <c r="D187" t="s">
        <v>10</v>
      </c>
    </row>
    <row r="188" spans="1:4" x14ac:dyDescent="0.2">
      <c r="A188" s="2">
        <v>46050</v>
      </c>
      <c r="B188" t="s">
        <v>3</v>
      </c>
      <c r="C188" s="1">
        <v>400</v>
      </c>
      <c r="D188" t="s">
        <v>11</v>
      </c>
    </row>
    <row r="189" spans="1:4" x14ac:dyDescent="0.2">
      <c r="A189" s="2">
        <v>46050</v>
      </c>
      <c r="B189" t="s">
        <v>2</v>
      </c>
      <c r="C189" s="1">
        <v>1000</v>
      </c>
      <c r="D189" t="s">
        <v>12</v>
      </c>
    </row>
    <row r="190" spans="1:4" x14ac:dyDescent="0.2">
      <c r="A190" s="2">
        <v>46050</v>
      </c>
      <c r="B190" t="s">
        <v>2</v>
      </c>
      <c r="C190" s="1">
        <v>200</v>
      </c>
      <c r="D190" t="s">
        <v>13</v>
      </c>
    </row>
    <row r="191" spans="1:4" x14ac:dyDescent="0.2">
      <c r="A191" s="2">
        <v>46050</v>
      </c>
      <c r="B191" t="s">
        <v>2</v>
      </c>
      <c r="C191" s="1">
        <v>1500</v>
      </c>
      <c r="D191" t="s">
        <v>14</v>
      </c>
    </row>
    <row r="192" spans="1:4" x14ac:dyDescent="0.2">
      <c r="A192" s="2"/>
    </row>
    <row r="193" spans="1:4" x14ac:dyDescent="0.2">
      <c r="A193" s="2">
        <v>46051</v>
      </c>
      <c r="B193" t="s">
        <v>2</v>
      </c>
      <c r="C193" s="1">
        <v>300</v>
      </c>
      <c r="D193" t="s">
        <v>10</v>
      </c>
    </row>
    <row r="194" spans="1:4" x14ac:dyDescent="0.2">
      <c r="A194" s="2">
        <v>46051</v>
      </c>
      <c r="B194" t="s">
        <v>3</v>
      </c>
      <c r="C194" s="1">
        <v>500</v>
      </c>
      <c r="D194" t="s">
        <v>11</v>
      </c>
    </row>
    <row r="195" spans="1:4" x14ac:dyDescent="0.2">
      <c r="A195" s="2">
        <v>46051</v>
      </c>
      <c r="B195" t="s">
        <v>2</v>
      </c>
      <c r="C195" s="1">
        <v>1100</v>
      </c>
      <c r="D195" t="s">
        <v>12</v>
      </c>
    </row>
    <row r="196" spans="1:4" x14ac:dyDescent="0.2">
      <c r="A196" s="2">
        <v>46051</v>
      </c>
      <c r="B196" t="s">
        <v>2</v>
      </c>
      <c r="C196" s="1">
        <v>250</v>
      </c>
      <c r="D196" t="s">
        <v>13</v>
      </c>
    </row>
    <row r="197" spans="1:4" x14ac:dyDescent="0.2">
      <c r="A197" s="2">
        <v>46051</v>
      </c>
      <c r="B197" t="s">
        <v>2</v>
      </c>
      <c r="C197" s="1">
        <v>1600</v>
      </c>
      <c r="D197" t="s">
        <v>14</v>
      </c>
    </row>
    <row r="198" spans="1:4" x14ac:dyDescent="0.2">
      <c r="A198" s="2"/>
    </row>
    <row r="199" spans="1:4" x14ac:dyDescent="0.2">
      <c r="A199" s="2">
        <v>46052</v>
      </c>
      <c r="B199" t="s">
        <v>2</v>
      </c>
      <c r="C199" s="1">
        <v>250</v>
      </c>
      <c r="D199" t="s">
        <v>10</v>
      </c>
    </row>
    <row r="200" spans="1:4" x14ac:dyDescent="0.2">
      <c r="A200" s="2">
        <v>46052</v>
      </c>
      <c r="B200" t="s">
        <v>3</v>
      </c>
      <c r="C200" s="1">
        <v>400</v>
      </c>
      <c r="D200" t="s">
        <v>11</v>
      </c>
    </row>
    <row r="201" spans="1:4" x14ac:dyDescent="0.2">
      <c r="A201" s="2">
        <v>46052</v>
      </c>
      <c r="B201" t="s">
        <v>2</v>
      </c>
      <c r="C201" s="1">
        <v>1000</v>
      </c>
      <c r="D201" t="s">
        <v>12</v>
      </c>
    </row>
    <row r="202" spans="1:4" x14ac:dyDescent="0.2">
      <c r="A202" s="2">
        <v>46052</v>
      </c>
      <c r="B202" t="s">
        <v>2</v>
      </c>
      <c r="C202" s="1">
        <v>200</v>
      </c>
      <c r="D202" t="s">
        <v>13</v>
      </c>
    </row>
    <row r="203" spans="1:4" x14ac:dyDescent="0.2">
      <c r="A203" s="2">
        <v>46052</v>
      </c>
      <c r="B203" t="s">
        <v>2</v>
      </c>
      <c r="C203" s="1">
        <v>1500</v>
      </c>
      <c r="D203" t="s">
        <v>14</v>
      </c>
    </row>
    <row r="204" spans="1:4" x14ac:dyDescent="0.2">
      <c r="A204" s="2">
        <v>46052</v>
      </c>
      <c r="B204" t="s">
        <v>4</v>
      </c>
      <c r="C204" s="1">
        <v>2000</v>
      </c>
      <c r="D204" t="s">
        <v>15</v>
      </c>
    </row>
    <row r="205" spans="1:4" x14ac:dyDescent="0.2">
      <c r="A205" s="2"/>
    </row>
    <row r="206" spans="1:4" x14ac:dyDescent="0.2">
      <c r="A206" s="2">
        <v>46053</v>
      </c>
      <c r="B206" t="s">
        <v>2</v>
      </c>
      <c r="C206" s="1">
        <v>300</v>
      </c>
      <c r="D206" t="s">
        <v>10</v>
      </c>
    </row>
    <row r="207" spans="1:4" x14ac:dyDescent="0.2">
      <c r="A207" s="2">
        <v>46053</v>
      </c>
      <c r="B207" t="s">
        <v>3</v>
      </c>
      <c r="C207" s="1">
        <v>600</v>
      </c>
      <c r="D207" t="s">
        <v>11</v>
      </c>
    </row>
    <row r="208" spans="1:4" x14ac:dyDescent="0.2">
      <c r="A208" s="2">
        <v>46053</v>
      </c>
      <c r="B208" t="s">
        <v>2</v>
      </c>
      <c r="C208" s="1">
        <v>1200</v>
      </c>
      <c r="D208" t="s">
        <v>12</v>
      </c>
    </row>
    <row r="209" spans="1:4" x14ac:dyDescent="0.2">
      <c r="A209" s="2">
        <v>46053</v>
      </c>
      <c r="B209" t="s">
        <v>2</v>
      </c>
      <c r="C209" s="1">
        <v>300</v>
      </c>
      <c r="D209" t="s">
        <v>13</v>
      </c>
    </row>
    <row r="210" spans="1:4" x14ac:dyDescent="0.2">
      <c r="A210" s="2">
        <v>46053</v>
      </c>
      <c r="B210" t="s">
        <v>2</v>
      </c>
      <c r="C210" s="1">
        <v>1800</v>
      </c>
      <c r="D210" t="s">
        <v>14</v>
      </c>
    </row>
  </sheetData>
  <dataValidations count="4">
    <dataValidation type="list" allowBlank="1" showInputMessage="1" showErrorMessage="1" sqref="A1:A6" xr:uid="{062950DB-3214-44D7-A8F6-CC72F0C7B612}">
      <formula1>"$A$2:$A6"</formula1>
    </dataValidation>
    <dataValidation type="list" allowBlank="1" showInputMessage="1" showErrorMessage="1" sqref="B10" xr:uid="{396D394E-A0AD-49C3-9312-C4B24E0EE110}">
      <formula1>"$A$2:$A$6"</formula1>
    </dataValidation>
    <dataValidation type="list" allowBlank="1" showInputMessage="1" showErrorMessage="1" sqref="B12:B26" xr:uid="{B7A81FD3-7BA1-453E-A672-3DD119E8F7D2}">
      <formula1>"A2:A6"</formula1>
    </dataValidation>
    <dataValidation type="list" allowBlank="1" showInputMessage="1" showErrorMessage="1" sqref="B11" xr:uid="{09F3AD57-2316-424E-AE76-8152FD57AA4E}">
      <formula1>"Food, Transportation, Entertainment, Utilities, Miscellaneous"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5C3D-E5CE-DF44-97AB-913CA8698027}">
  <dimension ref="A1:E6"/>
  <sheetViews>
    <sheetView tabSelected="1" zoomScaleNormal="60" zoomScaleSheetLayoutView="100" workbookViewId="0">
      <selection activeCell="E1" sqref="E1:E1048576"/>
    </sheetView>
  </sheetViews>
  <sheetFormatPr defaultRowHeight="15" x14ac:dyDescent="0.2"/>
  <cols>
    <col min="1" max="1" width="12.77734375" bestFit="1" customWidth="1"/>
    <col min="2" max="2" width="11.43359375" bestFit="1" customWidth="1"/>
    <col min="3" max="3" width="14.796875" bestFit="1" customWidth="1"/>
    <col min="4" max="4" width="12.5078125" bestFit="1" customWidth="1"/>
    <col min="5" max="5" width="14.796875" bestFit="1" customWidth="1"/>
  </cols>
  <sheetData>
    <row r="1" spans="1:5" x14ac:dyDescent="0.2">
      <c r="A1" t="s">
        <v>0</v>
      </c>
      <c r="B1" s="1" t="s">
        <v>1</v>
      </c>
      <c r="C1" s="1" t="s">
        <v>29</v>
      </c>
      <c r="D1" s="1" t="s">
        <v>30</v>
      </c>
      <c r="E1" t="s">
        <v>31</v>
      </c>
    </row>
    <row r="2" spans="1:5" x14ac:dyDescent="0.2">
      <c r="A2" t="str">
        <f>Expenses!A2</f>
        <v>Food</v>
      </c>
      <c r="B2" s="1">
        <f>Expenses!B2</f>
        <v>50000</v>
      </c>
      <c r="C2" s="1">
        <f>SUMIFS(Expenses!$C$11:$C$210, Expenses!$B$11:$B$210, A2)</f>
        <v>95810</v>
      </c>
      <c r="D2" s="1">
        <f>B2-C2</f>
        <v>-45810</v>
      </c>
      <c r="E2" t="str">
        <f>IF(D2&lt;0, "OVER BUDGET", " UNDER BUDGET")</f>
        <v>OVER BUDGET</v>
      </c>
    </row>
    <row r="3" spans="1:5" x14ac:dyDescent="0.2">
      <c r="A3" t="str">
        <f>Expenses!A3</f>
        <v>Transportation</v>
      </c>
      <c r="B3" s="1">
        <f>Expenses!B3</f>
        <v>20000</v>
      </c>
      <c r="C3" s="1">
        <f>SUMIFS(Expenses!$C$11:$C$210, Expenses!$B$11:$B$210, A3)</f>
        <v>14500</v>
      </c>
      <c r="D3" s="1">
        <f>B3-C3</f>
        <v>5500</v>
      </c>
      <c r="E3" t="str">
        <f>IF(D3&lt;0, "OVER BUDGET", " UNDER BUDGET")</f>
        <v xml:space="preserve"> UNDER BUDGET</v>
      </c>
    </row>
    <row r="4" spans="1:5" x14ac:dyDescent="0.2">
      <c r="A4" t="str">
        <f>Expenses!A4</f>
        <v>Entertainment</v>
      </c>
      <c r="B4" s="1">
        <f>Expenses!B4</f>
        <v>10000</v>
      </c>
      <c r="C4" s="1">
        <f>SUMIFS(Expenses!$C$11:$C$210, Expenses!$B$11:$B$210, A4)</f>
        <v>12500</v>
      </c>
      <c r="D4" s="1">
        <f>B4-C4</f>
        <v>-2500</v>
      </c>
      <c r="E4" t="str">
        <f>IF(D4&lt;0, "OVER BUDGET", " UNDER BUDGET")</f>
        <v>OVER BUDGET</v>
      </c>
    </row>
    <row r="5" spans="1:5" x14ac:dyDescent="0.2">
      <c r="A5" t="str">
        <f>Expenses!A5</f>
        <v>Utilities</v>
      </c>
      <c r="B5" s="1">
        <f>Expenses!B5</f>
        <v>10000</v>
      </c>
      <c r="C5" s="1">
        <f>SUMIFS(Expenses!$C$11:$C$210, Expenses!$B$11:$B$210, A5)</f>
        <v>12000</v>
      </c>
      <c r="D5" s="1">
        <f>B5-C5</f>
        <v>-2000</v>
      </c>
      <c r="E5" t="str">
        <f>IF(D5&lt;0, "OVER BUDGET", " UNDER BUDGET")</f>
        <v>OVER BUDGET</v>
      </c>
    </row>
    <row r="6" spans="1:5" x14ac:dyDescent="0.2">
      <c r="A6" t="str">
        <f>Expenses!A6</f>
        <v>Miscellaneous</v>
      </c>
      <c r="B6" s="1">
        <f>Expenses!B6</f>
        <v>10000</v>
      </c>
      <c r="C6" s="1">
        <f>SUMIFS(Expenses!$C$11:$C$210, Expenses!$B$11:$B$210, A6)</f>
        <v>4200</v>
      </c>
      <c r="D6" s="1">
        <f>B6-C6</f>
        <v>5800</v>
      </c>
      <c r="E6" t="str">
        <f>IF(D6&lt;0, "OVER BUDGET", " UNDER BUDGET")</f>
        <v xml:space="preserve"> UNDER BUDGET</v>
      </c>
    </row>
  </sheetData>
  <conditionalFormatting sqref="C2:C6">
    <cfRule type="expression" dxfId="1" priority="2">
      <formula>C2&gt;B2</formula>
    </cfRule>
  </conditionalFormatting>
  <conditionalFormatting sqref="E2:E6">
    <cfRule type="containsText" dxfId="0" priority="1" operator="containsText" text="OVER BUDGET">
      <formula>NOT(ISERROR(SEARCH("OVER BUDGET",E2)))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Saravanan</dc:creator>
  <dcterms:created xsi:type="dcterms:W3CDTF">2026-01-26T20:59:22Z</dcterms:created>
</cp:coreProperties>
</file>